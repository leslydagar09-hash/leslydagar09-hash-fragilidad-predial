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ICIO TECNICO\Downloads\OTROS\ESTUDIO DE AMENAZA, VULNERABILIDAD Y RIESGO\ANALISIS DE VULNERABILIDAD\"/>
    </mc:Choice>
  </mc:AlternateContent>
  <xr:revisionPtr revIDLastSave="0" documentId="13_ncr:1_{1613C87E-ED15-408E-9950-E50BB43D42C6}" xr6:coauthVersionLast="47" xr6:coauthVersionMax="47" xr10:uidLastSave="{00000000-0000-0000-0000-000000000000}"/>
  <bookViews>
    <workbookView xWindow="-120" yWindow="-120" windowWidth="29040" windowHeight="15720" firstSheet="2" activeTab="6" xr2:uid="{2BDC9BF8-2632-4571-9FB6-9D00B40C1C85}"/>
  </bookViews>
  <sheets>
    <sheet name="EDIFICACIONES" sheetId="2" r:id="rId1"/>
    <sheet name="OBRAS LINEALES" sheetId="3" r:id="rId2"/>
    <sheet name="ANALISIS DE DATOS" sheetId="4" r:id="rId3"/>
    <sheet name="FRAGILIDAD" sheetId="5" r:id="rId4"/>
    <sheet name="VULNERABILIDAD" sheetId="6" r:id="rId5"/>
    <sheet name="CALCULO DEL RIESGO" sheetId="7" r:id="rId6"/>
    <sheet name="CALCULO RIESGO PERDIDA" sheetId="8" r:id="rId7"/>
  </sheets>
  <definedNames>
    <definedName name="_xlnm._FilterDatabase" localSheetId="0" hidden="1">EDIFICACIONES!$A$1:$AC$39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8" l="1"/>
  <c r="K4" i="8" s="1"/>
  <c r="A1" i="6"/>
  <c r="E1" i="6"/>
  <c r="F1" i="6"/>
  <c r="I1" i="6"/>
  <c r="A2" i="6"/>
  <c r="B2" i="6"/>
  <c r="C2" i="6"/>
  <c r="D2" i="6"/>
  <c r="F2" i="6"/>
  <c r="G2" i="6"/>
  <c r="H2" i="6"/>
  <c r="I2" i="6"/>
  <c r="J2" i="6"/>
  <c r="A4" i="6"/>
  <c r="B4" i="6"/>
  <c r="C4" i="6"/>
  <c r="D4" i="6"/>
  <c r="E4" i="6"/>
  <c r="F4" i="6"/>
  <c r="G4" i="6"/>
  <c r="H4" i="6"/>
  <c r="I4" i="6"/>
  <c r="J4" i="6"/>
  <c r="A5" i="6"/>
  <c r="B5" i="6"/>
  <c r="C5" i="6"/>
  <c r="D5" i="6"/>
  <c r="E5" i="6"/>
  <c r="F5" i="6"/>
  <c r="G5" i="6"/>
  <c r="H5" i="6"/>
  <c r="I5" i="6"/>
  <c r="J5" i="6"/>
  <c r="A6" i="6"/>
  <c r="B6" i="6"/>
  <c r="C6" i="6"/>
  <c r="D6" i="6"/>
  <c r="E6" i="6"/>
  <c r="F6" i="6"/>
  <c r="G6" i="6"/>
  <c r="H6" i="6"/>
  <c r="I6" i="6"/>
  <c r="J6" i="6"/>
  <c r="A7" i="6"/>
  <c r="B7" i="6"/>
  <c r="C7" i="6"/>
  <c r="D7" i="6"/>
  <c r="E7" i="6"/>
  <c r="F7" i="6"/>
  <c r="G7" i="6"/>
  <c r="H7" i="6"/>
  <c r="I7" i="6"/>
  <c r="J7" i="6"/>
  <c r="A8" i="6"/>
  <c r="B8" i="6"/>
  <c r="C8" i="6"/>
  <c r="D8" i="6"/>
  <c r="E8" i="6"/>
  <c r="F8" i="6"/>
  <c r="G8" i="6"/>
  <c r="H8" i="6"/>
  <c r="I8" i="6"/>
  <c r="J8" i="6"/>
  <c r="A9" i="6"/>
  <c r="B9" i="6"/>
  <c r="C9" i="6"/>
  <c r="D9" i="6"/>
  <c r="E9" i="6"/>
  <c r="F9" i="6"/>
  <c r="G9" i="6"/>
  <c r="H9" i="6"/>
  <c r="I9" i="6"/>
  <c r="J9" i="6"/>
  <c r="A10" i="6"/>
  <c r="B10" i="6"/>
  <c r="C10" i="6"/>
  <c r="D10" i="6"/>
  <c r="E10" i="6"/>
  <c r="F10" i="6"/>
  <c r="G10" i="6"/>
  <c r="H10" i="6"/>
  <c r="I10" i="6"/>
  <c r="J10" i="6"/>
  <c r="A11" i="6"/>
  <c r="B11" i="6"/>
  <c r="C11" i="6"/>
  <c r="D11" i="6"/>
  <c r="E11" i="6"/>
  <c r="F11" i="6"/>
  <c r="G11" i="6"/>
  <c r="H11" i="6"/>
  <c r="I11" i="6"/>
  <c r="J11" i="6"/>
  <c r="A12" i="6"/>
  <c r="B12" i="6"/>
  <c r="C12" i="6"/>
  <c r="D12" i="6"/>
  <c r="E12" i="6"/>
  <c r="F12" i="6"/>
  <c r="G12" i="6"/>
  <c r="H12" i="6"/>
  <c r="I12" i="6"/>
  <c r="J12" i="6"/>
  <c r="A13" i="6"/>
  <c r="B13" i="6"/>
  <c r="C13" i="6"/>
  <c r="D13" i="6"/>
  <c r="E13" i="6"/>
  <c r="F13" i="6"/>
  <c r="G13" i="6"/>
  <c r="H13" i="6"/>
  <c r="I13" i="6"/>
  <c r="J13" i="6"/>
  <c r="A14" i="6"/>
  <c r="B14" i="6"/>
  <c r="C14" i="6"/>
  <c r="D14" i="6"/>
  <c r="E14" i="6"/>
  <c r="F14" i="6"/>
  <c r="G14" i="6"/>
  <c r="H14" i="6"/>
  <c r="I14" i="6"/>
  <c r="J14" i="6"/>
  <c r="A15" i="6"/>
  <c r="B15" i="6"/>
  <c r="C15" i="6"/>
  <c r="D15" i="6"/>
  <c r="E15" i="6"/>
  <c r="F15" i="6"/>
  <c r="G15" i="6"/>
  <c r="H15" i="6"/>
  <c r="I15" i="6"/>
  <c r="J15" i="6"/>
  <c r="A16" i="6"/>
  <c r="B16" i="6"/>
  <c r="C16" i="6"/>
  <c r="D16" i="6"/>
  <c r="E16" i="6"/>
  <c r="F16" i="6"/>
  <c r="G16" i="6"/>
  <c r="H16" i="6"/>
  <c r="I16" i="6"/>
  <c r="J16" i="6"/>
  <c r="A17" i="6"/>
  <c r="B17" i="6"/>
  <c r="C17" i="6"/>
  <c r="D17" i="6"/>
  <c r="E17" i="6"/>
  <c r="F17" i="6"/>
  <c r="G17" i="6"/>
  <c r="H17" i="6"/>
  <c r="I17" i="6"/>
  <c r="J17" i="6"/>
  <c r="A18" i="6"/>
  <c r="B18" i="6"/>
  <c r="C18" i="6"/>
  <c r="D18" i="6"/>
  <c r="E18" i="6"/>
  <c r="F18" i="6"/>
  <c r="G18" i="6"/>
  <c r="H18" i="6"/>
  <c r="I18" i="6"/>
  <c r="J18" i="6"/>
  <c r="A19" i="6"/>
  <c r="B19" i="6"/>
  <c r="C19" i="6"/>
  <c r="D19" i="6"/>
  <c r="E19" i="6"/>
  <c r="F19" i="6"/>
  <c r="G19" i="6"/>
  <c r="H19" i="6"/>
  <c r="I19" i="6"/>
  <c r="J19" i="6"/>
  <c r="A20" i="6"/>
  <c r="B20" i="6"/>
  <c r="C20" i="6"/>
  <c r="D20" i="6"/>
  <c r="E20" i="6"/>
  <c r="F20" i="6"/>
  <c r="G20" i="6"/>
  <c r="H20" i="6"/>
  <c r="I20" i="6"/>
  <c r="J20" i="6"/>
  <c r="A21" i="6"/>
  <c r="B21" i="6"/>
  <c r="C21" i="6"/>
  <c r="D21" i="6"/>
  <c r="E21" i="6"/>
  <c r="F21" i="6"/>
  <c r="G21" i="6"/>
  <c r="H21" i="6"/>
  <c r="I21" i="6"/>
  <c r="J21" i="6"/>
  <c r="A22" i="6"/>
  <c r="B22" i="6"/>
  <c r="C22" i="6"/>
  <c r="D22" i="6"/>
  <c r="E22" i="6"/>
  <c r="F22" i="6"/>
  <c r="G22" i="6"/>
  <c r="H22" i="6"/>
  <c r="I22" i="6"/>
  <c r="J22" i="6"/>
  <c r="A23" i="6"/>
  <c r="B23" i="6"/>
  <c r="C23" i="6"/>
  <c r="D23" i="6"/>
  <c r="E23" i="6"/>
  <c r="F23" i="6"/>
  <c r="G23" i="6"/>
  <c r="H23" i="6"/>
  <c r="I23" i="6"/>
  <c r="J23" i="6"/>
  <c r="A24" i="6"/>
  <c r="B24" i="6"/>
  <c r="C24" i="6"/>
  <c r="D24" i="6"/>
  <c r="E24" i="6"/>
  <c r="F24" i="6"/>
  <c r="G24" i="6"/>
  <c r="H24" i="6"/>
  <c r="I24" i="6"/>
  <c r="J24" i="6"/>
  <c r="A25" i="6"/>
  <c r="B25" i="6"/>
  <c r="C25" i="6"/>
  <c r="D25" i="6"/>
  <c r="E25" i="6"/>
  <c r="F25" i="6"/>
  <c r="G25" i="6"/>
  <c r="H25" i="6"/>
  <c r="I25" i="6"/>
  <c r="J25" i="6"/>
  <c r="A26" i="6"/>
  <c r="B26" i="6"/>
  <c r="C26" i="6"/>
  <c r="D26" i="6"/>
  <c r="E26" i="6"/>
  <c r="F26" i="6"/>
  <c r="G26" i="6"/>
  <c r="H26" i="6"/>
  <c r="I26" i="6"/>
  <c r="J26" i="6"/>
  <c r="A27" i="6"/>
  <c r="B27" i="6"/>
  <c r="C27" i="6"/>
  <c r="D27" i="6"/>
  <c r="E27" i="6"/>
  <c r="F27" i="6"/>
  <c r="G27" i="6"/>
  <c r="H27" i="6"/>
  <c r="I27" i="6"/>
  <c r="J27" i="6"/>
  <c r="A28" i="6"/>
  <c r="B28" i="6"/>
  <c r="C28" i="6"/>
  <c r="D28" i="6"/>
  <c r="E28" i="6"/>
  <c r="F28" i="6"/>
  <c r="G28" i="6"/>
  <c r="H28" i="6"/>
  <c r="I28" i="6"/>
  <c r="J28" i="6"/>
  <c r="A29" i="6"/>
  <c r="B29" i="6"/>
  <c r="C29" i="6"/>
  <c r="D29" i="6"/>
  <c r="E29" i="6"/>
  <c r="F29" i="6"/>
  <c r="G29" i="6"/>
  <c r="H29" i="6"/>
  <c r="I29" i="6"/>
  <c r="J29" i="6"/>
  <c r="A30" i="6"/>
  <c r="B30" i="6"/>
  <c r="C30" i="6"/>
  <c r="D30" i="6"/>
  <c r="E30" i="6"/>
  <c r="F30" i="6"/>
  <c r="G30" i="6"/>
  <c r="H30" i="6"/>
  <c r="I30" i="6"/>
  <c r="J30" i="6"/>
  <c r="A31" i="6"/>
  <c r="B31" i="6"/>
  <c r="C31" i="6"/>
  <c r="D31" i="6"/>
  <c r="E31" i="6"/>
  <c r="F31" i="6"/>
  <c r="G31" i="6"/>
  <c r="H31" i="6"/>
  <c r="I31" i="6"/>
  <c r="J31" i="6"/>
  <c r="A32" i="6"/>
  <c r="B32" i="6"/>
  <c r="C32" i="6"/>
  <c r="D32" i="6"/>
  <c r="E32" i="6"/>
  <c r="F32" i="6"/>
  <c r="G32" i="6"/>
  <c r="H32" i="6"/>
  <c r="I32" i="6"/>
  <c r="J32" i="6"/>
  <c r="A33" i="6"/>
  <c r="B33" i="6"/>
  <c r="C33" i="6"/>
  <c r="D33" i="6"/>
  <c r="E33" i="6"/>
  <c r="F33" i="6"/>
  <c r="G33" i="6"/>
  <c r="H33" i="6"/>
  <c r="I33" i="6"/>
  <c r="J33" i="6"/>
  <c r="A34" i="6"/>
  <c r="B34" i="6"/>
  <c r="C34" i="6"/>
  <c r="D34" i="6"/>
  <c r="E34" i="6"/>
  <c r="F34" i="6"/>
  <c r="G34" i="6"/>
  <c r="H34" i="6"/>
  <c r="I34" i="6"/>
  <c r="J34" i="6"/>
  <c r="A35" i="6"/>
  <c r="B35" i="6"/>
  <c r="C35" i="6"/>
  <c r="D35" i="6"/>
  <c r="E35" i="6"/>
  <c r="F35" i="6"/>
  <c r="G35" i="6"/>
  <c r="H35" i="6"/>
  <c r="I35" i="6"/>
  <c r="J35" i="6"/>
  <c r="A36" i="6"/>
  <c r="B36" i="6"/>
  <c r="C36" i="6"/>
  <c r="D36" i="6"/>
  <c r="E36" i="6"/>
  <c r="F36" i="6"/>
  <c r="G36" i="6"/>
  <c r="H36" i="6"/>
  <c r="I36" i="6"/>
  <c r="J36" i="6"/>
  <c r="A37" i="6"/>
  <c r="B37" i="6"/>
  <c r="C37" i="6"/>
  <c r="D37" i="6"/>
  <c r="E37" i="6"/>
  <c r="F37" i="6"/>
  <c r="G37" i="6"/>
  <c r="H37" i="6"/>
  <c r="I37" i="6"/>
  <c r="J37" i="6"/>
  <c r="A38" i="6"/>
  <c r="B38" i="6"/>
  <c r="C38" i="6"/>
  <c r="D38" i="6"/>
  <c r="E38" i="6"/>
  <c r="F38" i="6"/>
  <c r="G38" i="6"/>
  <c r="H38" i="6"/>
  <c r="I38" i="6"/>
  <c r="J38" i="6"/>
  <c r="A39" i="6"/>
  <c r="B39" i="6"/>
  <c r="C39" i="6"/>
  <c r="D39" i="6"/>
  <c r="E39" i="6"/>
  <c r="F39" i="6"/>
  <c r="G39" i="6"/>
  <c r="H39" i="6"/>
  <c r="I39" i="6"/>
  <c r="J39" i="6"/>
  <c r="AP4" i="2"/>
  <c r="AO4" i="2"/>
  <c r="AQ4" i="2"/>
  <c r="AW4" i="2" s="1"/>
  <c r="G40" i="8"/>
  <c r="P4" i="5"/>
  <c r="J10" i="8"/>
  <c r="K10" i="8" s="1"/>
  <c r="K12" i="8"/>
  <c r="K13" i="8"/>
  <c r="K14" i="8"/>
  <c r="K15" i="8"/>
  <c r="K16" i="8"/>
  <c r="K17" i="8"/>
  <c r="K18" i="8"/>
  <c r="K19" i="8"/>
  <c r="K20" i="8"/>
  <c r="K21" i="8"/>
  <c r="K26" i="8"/>
  <c r="K27" i="8"/>
  <c r="K28" i="8"/>
  <c r="K29" i="8"/>
  <c r="K30" i="8"/>
  <c r="K31" i="8"/>
  <c r="K32" i="8"/>
  <c r="K33" i="8"/>
  <c r="K34" i="8"/>
  <c r="K35" i="8"/>
  <c r="K36" i="8"/>
  <c r="K37" i="8"/>
  <c r="K39" i="8"/>
  <c r="K5" i="8"/>
  <c r="K6" i="8"/>
  <c r="K7" i="8"/>
  <c r="K8" i="8"/>
  <c r="J5" i="8"/>
  <c r="J6" i="8"/>
  <c r="J7" i="8"/>
  <c r="J8" i="8"/>
  <c r="J9" i="8"/>
  <c r="K9" i="8" s="1"/>
  <c r="J12" i="8"/>
  <c r="J13" i="8"/>
  <c r="J14" i="8"/>
  <c r="J15" i="8"/>
  <c r="J16" i="8"/>
  <c r="J17" i="8"/>
  <c r="J18" i="8"/>
  <c r="J19" i="8"/>
  <c r="J20" i="8"/>
  <c r="J21" i="8"/>
  <c r="J22" i="8"/>
  <c r="K22" i="8" s="1"/>
  <c r="J23" i="8"/>
  <c r="K23" i="8" s="1"/>
  <c r="J24" i="8"/>
  <c r="K24" i="8" s="1"/>
  <c r="J25" i="8"/>
  <c r="K25" i="8" s="1"/>
  <c r="J26" i="8"/>
  <c r="J27" i="8"/>
  <c r="J28" i="8"/>
  <c r="J29" i="8"/>
  <c r="J30" i="8"/>
  <c r="J31" i="8"/>
  <c r="J32" i="8"/>
  <c r="J33" i="8"/>
  <c r="J34" i="8"/>
  <c r="J35" i="8"/>
  <c r="J36" i="8"/>
  <c r="J37" i="8"/>
  <c r="J39" i="8"/>
  <c r="H39" i="5"/>
  <c r="F39" i="5"/>
  <c r="E39" i="5"/>
  <c r="E38" i="5"/>
  <c r="H38" i="5" s="1"/>
  <c r="E37" i="5"/>
  <c r="F37" i="5" s="1"/>
  <c r="E36" i="5"/>
  <c r="F36" i="5" s="1"/>
  <c r="E35" i="5"/>
  <c r="H35" i="5" s="1"/>
  <c r="E34" i="5"/>
  <c r="H34" i="5" s="1"/>
  <c r="H33" i="5"/>
  <c r="F33" i="5"/>
  <c r="E33" i="5"/>
  <c r="H32" i="5"/>
  <c r="E32" i="5"/>
  <c r="F32" i="5" s="1"/>
  <c r="E31" i="5"/>
  <c r="H31" i="5" s="1"/>
  <c r="E30" i="5"/>
  <c r="F30" i="5" s="1"/>
  <c r="E29" i="5"/>
  <c r="H29" i="5" s="1"/>
  <c r="E28" i="5"/>
  <c r="F28" i="5" s="1"/>
  <c r="E27" i="5"/>
  <c r="H27" i="5" s="1"/>
  <c r="H26" i="5"/>
  <c r="E26" i="5"/>
  <c r="F26" i="5" s="1"/>
  <c r="E25" i="5"/>
  <c r="H25" i="5" s="1"/>
  <c r="E24" i="5"/>
  <c r="H24" i="5" s="1"/>
  <c r="E23" i="5"/>
  <c r="F23" i="5" s="1"/>
  <c r="E22" i="5"/>
  <c r="F22" i="5" s="1"/>
  <c r="E21" i="5"/>
  <c r="F21" i="5" s="1"/>
  <c r="E20" i="5"/>
  <c r="F20" i="5" s="1"/>
  <c r="H19" i="5"/>
  <c r="F19" i="5"/>
  <c r="E19" i="5"/>
  <c r="H18" i="5"/>
  <c r="F18" i="5"/>
  <c r="E18" i="5"/>
  <c r="E17" i="5"/>
  <c r="F17" i="5" s="1"/>
  <c r="E16" i="5"/>
  <c r="H16" i="5" s="1"/>
  <c r="E15" i="5"/>
  <c r="H15" i="5" s="1"/>
  <c r="E14" i="5"/>
  <c r="H14" i="5" s="1"/>
  <c r="H13" i="5"/>
  <c r="F13" i="5"/>
  <c r="E13" i="5"/>
  <c r="H12" i="5"/>
  <c r="E12" i="5"/>
  <c r="F12" i="5" s="1"/>
  <c r="H11" i="5"/>
  <c r="E11" i="5"/>
  <c r="F11" i="5" s="1"/>
  <c r="E10" i="5"/>
  <c r="H10" i="5" s="1"/>
  <c r="E9" i="5"/>
  <c r="H9" i="5" s="1"/>
  <c r="E8" i="5"/>
  <c r="H8" i="5" s="1"/>
  <c r="E7" i="5"/>
  <c r="F7" i="5" s="1"/>
  <c r="H6" i="5"/>
  <c r="E6" i="5"/>
  <c r="F6" i="5" s="1"/>
  <c r="E5" i="5"/>
  <c r="H5" i="5" s="1"/>
  <c r="E4" i="5"/>
  <c r="H4" i="5" s="1"/>
  <c r="BC15" i="2"/>
  <c r="BC5" i="2"/>
  <c r="BC6" i="2"/>
  <c r="BC7" i="2"/>
  <c r="BC8" i="2"/>
  <c r="BC9" i="2"/>
  <c r="BC10" i="2"/>
  <c r="BC11" i="2"/>
  <c r="BC12" i="2"/>
  <c r="BC13" i="2"/>
  <c r="BC14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AZ11" i="2"/>
  <c r="AZ32" i="2"/>
  <c r="BA32" i="2" s="1"/>
  <c r="AZ33" i="2"/>
  <c r="BA33" i="2" s="1"/>
  <c r="AZ34" i="2"/>
  <c r="BA34" i="2" s="1"/>
  <c r="AZ35" i="2"/>
  <c r="BA35" i="2" s="1"/>
  <c r="AZ36" i="2"/>
  <c r="BA36" i="2" s="1"/>
  <c r="AZ37" i="2"/>
  <c r="BA37" i="2" s="1"/>
  <c r="AZ38" i="2"/>
  <c r="BA38" i="2" s="1"/>
  <c r="AZ39" i="2"/>
  <c r="BA39" i="2" s="1"/>
  <c r="BA11" i="2"/>
  <c r="BA8" i="2"/>
  <c r="BA9" i="2"/>
  <c r="BA10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AX13" i="2"/>
  <c r="BA5" i="2"/>
  <c r="BA6" i="2"/>
  <c r="BA7" i="2"/>
  <c r="AZ5" i="2"/>
  <c r="AZ6" i="2"/>
  <c r="AZ7" i="2"/>
  <c r="AZ8" i="2"/>
  <c r="AZ9" i="2"/>
  <c r="AZ10" i="2"/>
  <c r="AZ12" i="2"/>
  <c r="AZ13" i="2"/>
  <c r="AZ14" i="2"/>
  <c r="AZ15" i="2"/>
  <c r="AZ16" i="2"/>
  <c r="AZ17" i="2"/>
  <c r="AZ18" i="2"/>
  <c r="AZ20" i="2"/>
  <c r="AZ21" i="2"/>
  <c r="AZ22" i="2"/>
  <c r="AZ23" i="2"/>
  <c r="AZ24" i="2"/>
  <c r="AZ25" i="2"/>
  <c r="AZ26" i="2"/>
  <c r="AZ27" i="2"/>
  <c r="AZ29" i="2"/>
  <c r="AZ30" i="2"/>
  <c r="AZ31" i="2"/>
  <c r="AZ4" i="2"/>
  <c r="AX5" i="2"/>
  <c r="AX6" i="2"/>
  <c r="AX7" i="2"/>
  <c r="AX8" i="2"/>
  <c r="AX9" i="2"/>
  <c r="AX10" i="2"/>
  <c r="AX11" i="2"/>
  <c r="AX12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J40" i="8" l="1"/>
  <c r="K40" i="8"/>
  <c r="N5" i="8"/>
  <c r="N6" i="8"/>
  <c r="N7" i="8"/>
  <c r="N8" i="8"/>
  <c r="N3" i="8"/>
  <c r="N9" i="8"/>
  <c r="N10" i="8"/>
  <c r="N11" i="8"/>
  <c r="N12" i="8"/>
  <c r="N4" i="8"/>
  <c r="O10" i="8"/>
  <c r="O3" i="8"/>
  <c r="O12" i="8"/>
  <c r="O11" i="8"/>
  <c r="O9" i="8"/>
  <c r="O8" i="8"/>
  <c r="O5" i="8"/>
  <c r="P5" i="8"/>
  <c r="P4" i="8"/>
  <c r="O7" i="8"/>
  <c r="O6" i="8"/>
  <c r="BA4" i="2"/>
  <c r="AX4" i="2"/>
  <c r="BC4" i="2" s="1"/>
  <c r="H7" i="5"/>
  <c r="H21" i="5"/>
  <c r="H28" i="5"/>
  <c r="F16" i="5"/>
  <c r="H36" i="5"/>
  <c r="F10" i="5"/>
  <c r="F4" i="5"/>
  <c r="H37" i="5"/>
  <c r="F34" i="5"/>
  <c r="F35" i="5"/>
  <c r="H22" i="5"/>
  <c r="H30" i="5"/>
  <c r="H17" i="5"/>
  <c r="F24" i="5"/>
  <c r="F31" i="5"/>
  <c r="F38" i="5"/>
  <c r="H20" i="5"/>
  <c r="F14" i="5"/>
  <c r="F15" i="5"/>
  <c r="F9" i="5"/>
  <c r="F29" i="5"/>
  <c r="H23" i="5"/>
  <c r="F5" i="5"/>
  <c r="F25" i="5"/>
  <c r="F27" i="5"/>
  <c r="F8" i="5"/>
  <c r="D24" i="4"/>
  <c r="D21" i="4"/>
  <c r="B25" i="4"/>
  <c r="D23" i="4" s="1"/>
  <c r="C87" i="4"/>
  <c r="C86" i="4"/>
  <c r="C84" i="4"/>
  <c r="C83" i="4"/>
  <c r="C122" i="4"/>
  <c r="B123" i="4"/>
  <c r="C120" i="4" s="1"/>
  <c r="C115" i="4"/>
  <c r="C114" i="4"/>
  <c r="C113" i="4"/>
  <c r="B115" i="4"/>
  <c r="C112" i="4" s="1"/>
  <c r="C108" i="4"/>
  <c r="C107" i="4"/>
  <c r="C102" i="4"/>
  <c r="C98" i="4"/>
  <c r="C97" i="4"/>
  <c r="C96" i="4"/>
  <c r="C94" i="4"/>
  <c r="C93" i="4"/>
  <c r="C92" i="4"/>
  <c r="C73" i="4"/>
  <c r="C72" i="4"/>
  <c r="C71" i="4"/>
  <c r="C70" i="4"/>
  <c r="C46" i="4"/>
  <c r="C45" i="4"/>
  <c r="C44" i="4"/>
  <c r="C43" i="4"/>
  <c r="C42" i="4"/>
  <c r="Q2" i="5"/>
  <c r="P3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Q37" i="5" s="1"/>
  <c r="AK31" i="2"/>
  <c r="AS31" i="2" s="1"/>
  <c r="AT31" i="2" s="1"/>
  <c r="AH4" i="2"/>
  <c r="AK9" i="2"/>
  <c r="AS9" i="2" s="1"/>
  <c r="AT9" i="2" s="1"/>
  <c r="AK10" i="2"/>
  <c r="AS10" i="2" s="1"/>
  <c r="AT10" i="2" s="1"/>
  <c r="AH11" i="2"/>
  <c r="AK11" i="2" s="1"/>
  <c r="AS11" i="2" s="1"/>
  <c r="AT11" i="2" s="1"/>
  <c r="AI9" i="2"/>
  <c r="AH5" i="2"/>
  <c r="AH6" i="2"/>
  <c r="AK6" i="2" s="1"/>
  <c r="AS6" i="2" s="1"/>
  <c r="AT6" i="2" s="1"/>
  <c r="AH7" i="2"/>
  <c r="AH8" i="2"/>
  <c r="AK8" i="2" s="1"/>
  <c r="AS8" i="2" s="1"/>
  <c r="AT8" i="2" s="1"/>
  <c r="AH9" i="2"/>
  <c r="AP9" i="2" s="1"/>
  <c r="AQ9" i="2" s="1"/>
  <c r="AH10" i="2"/>
  <c r="AH12" i="2"/>
  <c r="AP12" i="2" s="1"/>
  <c r="AQ12" i="2" s="1"/>
  <c r="AH13" i="2"/>
  <c r="AH14" i="2"/>
  <c r="AH15" i="2"/>
  <c r="AK15" i="2" s="1"/>
  <c r="AS15" i="2" s="1"/>
  <c r="AT15" i="2" s="1"/>
  <c r="AH16" i="2"/>
  <c r="AH17" i="2"/>
  <c r="AH18" i="2"/>
  <c r="AK18" i="2" s="1"/>
  <c r="AS18" i="2" s="1"/>
  <c r="AT18" i="2" s="1"/>
  <c r="AH19" i="2"/>
  <c r="AK19" i="2" s="1"/>
  <c r="AS19" i="2" s="1"/>
  <c r="AT19" i="2" s="1"/>
  <c r="AH20" i="2"/>
  <c r="AK20" i="2" s="1"/>
  <c r="AS20" i="2" s="1"/>
  <c r="AT20" i="2" s="1"/>
  <c r="AH21" i="2"/>
  <c r="AK21" i="2" s="1"/>
  <c r="AS21" i="2" s="1"/>
  <c r="AT21" i="2" s="1"/>
  <c r="AH22" i="2"/>
  <c r="AK22" i="2" s="1"/>
  <c r="AS22" i="2" s="1"/>
  <c r="AT22" i="2" s="1"/>
  <c r="AH23" i="2"/>
  <c r="AK23" i="2" s="1"/>
  <c r="AS23" i="2" s="1"/>
  <c r="AT23" i="2" s="1"/>
  <c r="AH24" i="2"/>
  <c r="AK24" i="2" s="1"/>
  <c r="AS24" i="2" s="1"/>
  <c r="AT24" i="2" s="1"/>
  <c r="AH25" i="2"/>
  <c r="AK25" i="2" s="1"/>
  <c r="AS25" i="2" s="1"/>
  <c r="AT25" i="2" s="1"/>
  <c r="AH26" i="2"/>
  <c r="AK26" i="2" s="1"/>
  <c r="AS26" i="2" s="1"/>
  <c r="AT26" i="2" s="1"/>
  <c r="AH27" i="2"/>
  <c r="AK27" i="2" s="1"/>
  <c r="AS27" i="2" s="1"/>
  <c r="AT27" i="2" s="1"/>
  <c r="AH28" i="2"/>
  <c r="AH29" i="2"/>
  <c r="AP29" i="2" s="1"/>
  <c r="AQ29" i="2" s="1"/>
  <c r="AH30" i="2"/>
  <c r="AH31" i="2"/>
  <c r="AP31" i="2" s="1"/>
  <c r="AQ31" i="2" s="1"/>
  <c r="AH32" i="2"/>
  <c r="AP32" i="2" s="1"/>
  <c r="AQ32" i="2" s="1"/>
  <c r="AH33" i="2"/>
  <c r="AK33" i="2" s="1"/>
  <c r="AS33" i="2" s="1"/>
  <c r="AT33" i="2" s="1"/>
  <c r="AH34" i="2"/>
  <c r="AP34" i="2" s="1"/>
  <c r="AQ34" i="2" s="1"/>
  <c r="AH35" i="2"/>
  <c r="AP35" i="2" s="1"/>
  <c r="AQ35" i="2" s="1"/>
  <c r="AH36" i="2"/>
  <c r="AH37" i="2"/>
  <c r="AP37" i="2" s="1"/>
  <c r="AQ37" i="2" s="1"/>
  <c r="AH38" i="2"/>
  <c r="AP38" i="2" s="1"/>
  <c r="AQ38" i="2" s="1"/>
  <c r="AH39" i="2"/>
  <c r="AP39" i="2" s="1"/>
  <c r="AQ39" i="2" s="1"/>
  <c r="B109" i="4"/>
  <c r="C109" i="4" s="1"/>
  <c r="B103" i="4"/>
  <c r="C103" i="4" s="1"/>
  <c r="B98" i="4"/>
  <c r="C95" i="4" s="1"/>
  <c r="B89" i="4"/>
  <c r="C89" i="4" s="1"/>
  <c r="B80" i="4"/>
  <c r="C80" i="4" s="1"/>
  <c r="B73" i="4"/>
  <c r="C69" i="4" s="1"/>
  <c r="B66" i="4"/>
  <c r="C66" i="4" s="1"/>
  <c r="B59" i="4"/>
  <c r="C59" i="4" s="1"/>
  <c r="B53" i="4"/>
  <c r="C53" i="4" s="1"/>
  <c r="B47" i="4"/>
  <c r="C47" i="4" s="1"/>
  <c r="B34" i="4"/>
  <c r="C34" i="4" s="1"/>
  <c r="C33" i="4"/>
  <c r="O4" i="8" l="1"/>
  <c r="P8" i="8"/>
  <c r="P9" i="8"/>
  <c r="P3" i="8"/>
  <c r="P10" i="8"/>
  <c r="P11" i="8"/>
  <c r="P12" i="8"/>
  <c r="P6" i="8"/>
  <c r="P7" i="8"/>
  <c r="AI31" i="2"/>
  <c r="AI12" i="2"/>
  <c r="AI29" i="2"/>
  <c r="AK4" i="2"/>
  <c r="AS4" i="2" s="1"/>
  <c r="AT4" i="2" s="1"/>
  <c r="AI14" i="2"/>
  <c r="AP14" i="2"/>
  <c r="AQ14" i="2" s="1"/>
  <c r="AI13" i="2"/>
  <c r="AP13" i="2"/>
  <c r="AQ13" i="2" s="1"/>
  <c r="AI8" i="2"/>
  <c r="AP8" i="2"/>
  <c r="AQ8" i="2" s="1"/>
  <c r="AI28" i="2"/>
  <c r="AP28" i="2"/>
  <c r="AQ28" i="2" s="1"/>
  <c r="AI26" i="2"/>
  <c r="AP26" i="2"/>
  <c r="AQ26" i="2" s="1"/>
  <c r="AK14" i="2"/>
  <c r="AS14" i="2" s="1"/>
  <c r="AT14" i="2" s="1"/>
  <c r="AK34" i="2"/>
  <c r="AS34" i="2" s="1"/>
  <c r="AT34" i="2" s="1"/>
  <c r="AI16" i="2"/>
  <c r="AP16" i="2"/>
  <c r="AQ16" i="2" s="1"/>
  <c r="AI10" i="2"/>
  <c r="AP10" i="2"/>
  <c r="AQ10" i="2" s="1"/>
  <c r="AK39" i="2"/>
  <c r="AS39" i="2" s="1"/>
  <c r="AT39" i="2" s="1"/>
  <c r="AK38" i="2"/>
  <c r="AS38" i="2" s="1"/>
  <c r="AT38" i="2" s="1"/>
  <c r="AK16" i="2"/>
  <c r="AS16" i="2" s="1"/>
  <c r="AT16" i="2" s="1"/>
  <c r="AI24" i="2"/>
  <c r="AP24" i="2"/>
  <c r="AQ24" i="2" s="1"/>
  <c r="AI36" i="2"/>
  <c r="AP36" i="2"/>
  <c r="AQ36" i="2" s="1"/>
  <c r="AI30" i="2"/>
  <c r="AP30" i="2"/>
  <c r="AQ30" i="2" s="1"/>
  <c r="AK37" i="2"/>
  <c r="AS37" i="2" s="1"/>
  <c r="AT37" i="2" s="1"/>
  <c r="AI6" i="2"/>
  <c r="AP6" i="2"/>
  <c r="AQ6" i="2" s="1"/>
  <c r="AI17" i="2"/>
  <c r="AP17" i="2"/>
  <c r="AQ17" i="2" s="1"/>
  <c r="AI11" i="2"/>
  <c r="AP11" i="2"/>
  <c r="AQ11" i="2" s="1"/>
  <c r="AI33" i="2"/>
  <c r="AP33" i="2"/>
  <c r="AQ33" i="2" s="1"/>
  <c r="AI27" i="2"/>
  <c r="AP27" i="2"/>
  <c r="AQ27" i="2" s="1"/>
  <c r="AI5" i="2"/>
  <c r="AP5" i="2"/>
  <c r="AQ5" i="2" s="1"/>
  <c r="AI39" i="2"/>
  <c r="AK13" i="2"/>
  <c r="AS13" i="2" s="1"/>
  <c r="AT13" i="2" s="1"/>
  <c r="AI37" i="2"/>
  <c r="AI22" i="2"/>
  <c r="AP22" i="2"/>
  <c r="AQ22" i="2" s="1"/>
  <c r="AK30" i="2"/>
  <c r="AS30" i="2" s="1"/>
  <c r="AT30" i="2" s="1"/>
  <c r="AI34" i="2"/>
  <c r="AK29" i="2"/>
  <c r="AS29" i="2" s="1"/>
  <c r="AT29" i="2" s="1"/>
  <c r="AK5" i="2"/>
  <c r="AS5" i="2" s="1"/>
  <c r="AT5" i="2" s="1"/>
  <c r="AI19" i="2"/>
  <c r="AP19" i="2"/>
  <c r="AQ19" i="2" s="1"/>
  <c r="AI18" i="2"/>
  <c r="AP18" i="2"/>
  <c r="AQ18" i="2" s="1"/>
  <c r="AI15" i="2"/>
  <c r="AP15" i="2"/>
  <c r="AQ15" i="2" s="1"/>
  <c r="AK17" i="2"/>
  <c r="AS17" i="2" s="1"/>
  <c r="AT17" i="2" s="1"/>
  <c r="AI7" i="2"/>
  <c r="AP7" i="2"/>
  <c r="AQ7" i="2" s="1"/>
  <c r="AK36" i="2"/>
  <c r="AS36" i="2" s="1"/>
  <c r="AT36" i="2" s="1"/>
  <c r="AK35" i="2"/>
  <c r="AS35" i="2" s="1"/>
  <c r="AT35" i="2" s="1"/>
  <c r="AI25" i="2"/>
  <c r="AP25" i="2"/>
  <c r="AQ25" i="2" s="1"/>
  <c r="AI38" i="2"/>
  <c r="AK12" i="2"/>
  <c r="AS12" i="2" s="1"/>
  <c r="AT12" i="2" s="1"/>
  <c r="AI23" i="2"/>
  <c r="AP23" i="2"/>
  <c r="AQ23" i="2" s="1"/>
  <c r="AK32" i="2"/>
  <c r="AS32" i="2" s="1"/>
  <c r="AT32" i="2" s="1"/>
  <c r="AI35" i="2"/>
  <c r="AI21" i="2"/>
  <c r="AP21" i="2"/>
  <c r="AQ21" i="2" s="1"/>
  <c r="AI4" i="2"/>
  <c r="AI20" i="2"/>
  <c r="AP20" i="2"/>
  <c r="AQ20" i="2" s="1"/>
  <c r="AI32" i="2"/>
  <c r="AK28" i="2"/>
  <c r="AS28" i="2" s="1"/>
  <c r="AT28" i="2" s="1"/>
  <c r="AK7" i="2"/>
  <c r="AS7" i="2" s="1"/>
  <c r="AT7" i="2" s="1"/>
  <c r="D22" i="4"/>
  <c r="C56" i="4"/>
  <c r="C57" i="4"/>
  <c r="C101" i="4"/>
  <c r="C85" i="4"/>
  <c r="C50" i="4"/>
  <c r="C51" i="4"/>
  <c r="C121" i="4"/>
  <c r="C58" i="4"/>
  <c r="C62" i="4"/>
  <c r="C106" i="4"/>
  <c r="C88" i="4"/>
  <c r="C123" i="4"/>
  <c r="C119" i="4"/>
  <c r="C63" i="4"/>
  <c r="C64" i="4"/>
  <c r="C65" i="4"/>
  <c r="C52" i="4"/>
  <c r="Q22" i="5"/>
  <c r="Q21" i="5"/>
  <c r="Q19" i="5"/>
  <c r="Q36" i="5"/>
  <c r="Q15" i="5"/>
  <c r="Q14" i="5"/>
  <c r="Q12" i="5"/>
  <c r="Q10" i="5"/>
  <c r="Q29" i="5"/>
  <c r="Q8" i="5"/>
  <c r="Q7" i="5"/>
  <c r="Q26" i="5"/>
  <c r="Q6" i="5"/>
  <c r="Q20" i="5"/>
  <c r="Q17" i="5"/>
  <c r="Q35" i="5"/>
  <c r="Q33" i="5"/>
  <c r="Q11" i="5"/>
  <c r="Q9" i="5"/>
  <c r="Q27" i="5"/>
  <c r="Q25" i="5"/>
  <c r="Q5" i="5"/>
  <c r="Q16" i="5"/>
  <c r="Q34" i="5"/>
  <c r="Q13" i="5"/>
  <c r="Q32" i="5"/>
  <c r="Q31" i="5"/>
  <c r="Q30" i="5"/>
  <c r="Q28" i="5"/>
  <c r="Q24" i="5"/>
  <c r="Q4" i="5"/>
  <c r="Q18" i="5"/>
  <c r="Q23" i="5"/>
  <c r="Q3" i="5"/>
  <c r="C76" i="4"/>
  <c r="C77" i="4"/>
  <c r="C78" i="4"/>
  <c r="C79" i="4"/>
  <c r="C29" i="4"/>
  <c r="C30" i="4"/>
  <c r="C28" i="4"/>
  <c r="C31" i="4"/>
  <c r="C32" i="4"/>
</calcChain>
</file>

<file path=xl/sharedStrings.xml><?xml version="1.0" encoding="utf-8"?>
<sst xmlns="http://schemas.openxmlformats.org/spreadsheetml/2006/main" count="1784" uniqueCount="357">
  <si>
    <t>Ninguno</t>
  </si>
  <si>
    <t>Moderado</t>
  </si>
  <si>
    <t>Leve</t>
  </si>
  <si>
    <t>ID</t>
  </si>
  <si>
    <t>DIRECCION PREDIO</t>
  </si>
  <si>
    <t>COORDENADAS</t>
  </si>
  <si>
    <t>LONGITUD</t>
  </si>
  <si>
    <t>LATITUD</t>
  </si>
  <si>
    <t>CLASIFICACION DE LAS EDIFICACIONES</t>
  </si>
  <si>
    <t>UBICACIÓN EN LA MANZANA</t>
  </si>
  <si>
    <t>NUMERO DE PISOS</t>
  </si>
  <si>
    <t>ESTADO DE LA CONSTRUCCION</t>
  </si>
  <si>
    <t>CALIDAD EN LA CONSTRUCCION</t>
  </si>
  <si>
    <t>SERVICIOS PUBLICOS EN EL PREDIO</t>
  </si>
  <si>
    <t>DESCRIPCION DEL SISTEMA ESTRUCTURAL</t>
  </si>
  <si>
    <t>CIMENTACION</t>
  </si>
  <si>
    <t>SISTEMA DE ENTREPISOS</t>
  </si>
  <si>
    <t>SISTEMA ESTRUCTURAL</t>
  </si>
  <si>
    <t>SISTEMA DE CUBIERTA</t>
  </si>
  <si>
    <t>FECHA DE CONSTRUCCION</t>
  </si>
  <si>
    <t>REFORMAS EN LA ESTRUCTUR</t>
  </si>
  <si>
    <t>IRREGULARIDAD EN PLANTA</t>
  </si>
  <si>
    <t>EVALUACION Y DIAGNOSTICO DE DAÑOS DE LA EDIFICACION</t>
  </si>
  <si>
    <t>CAUSA DE DAÑOS PRESENTES</t>
  </si>
  <si>
    <t>CONSECUENCIAS PRESENTES</t>
  </si>
  <si>
    <t>INUNDACIONES PREVIAS</t>
  </si>
  <si>
    <t>EVALUACION DE DAÑOS EN ELEMENTOS ESTRUCTURALES</t>
  </si>
  <si>
    <t>SISTEMA DE RECOLECCION DE AGUAS SERVIDAS</t>
  </si>
  <si>
    <t>CONDICIONES DE LOS MOVIMIENTOS EN MASA EN EL PREDIO</t>
  </si>
  <si>
    <t>ZONAS  O ESCENARIOS DE EXPOSICION</t>
  </si>
  <si>
    <t>MZ_A12</t>
  </si>
  <si>
    <t>MZ_A13</t>
  </si>
  <si>
    <t>MZ_A14</t>
  </si>
  <si>
    <t>MZ_A15</t>
  </si>
  <si>
    <t>MZ_A16</t>
  </si>
  <si>
    <t>MZ_A17</t>
  </si>
  <si>
    <t>MZ_E4</t>
  </si>
  <si>
    <t>MZ_F1</t>
  </si>
  <si>
    <t>MZ_G1</t>
  </si>
  <si>
    <t>MZ_H2</t>
  </si>
  <si>
    <t>MZ_H3</t>
  </si>
  <si>
    <t>MZ_H4</t>
  </si>
  <si>
    <t>MZ_H5</t>
  </si>
  <si>
    <t>MZ_I1</t>
  </si>
  <si>
    <t>MZ_I2</t>
  </si>
  <si>
    <t>MZ_J6</t>
  </si>
  <si>
    <t>MZ_K2</t>
  </si>
  <si>
    <t>MZ_K3</t>
  </si>
  <si>
    <t>MZ_M1</t>
  </si>
  <si>
    <t>MZ_M2</t>
  </si>
  <si>
    <t>MZ_M1A</t>
  </si>
  <si>
    <t>MZ_M3</t>
  </si>
  <si>
    <t>MZ_M4</t>
  </si>
  <si>
    <t>MZ_O1</t>
  </si>
  <si>
    <t>MZ_O2</t>
  </si>
  <si>
    <t>MZ_O3</t>
  </si>
  <si>
    <t>MZ_O4</t>
  </si>
  <si>
    <t xml:space="preserve"> 75° 8'49.75"O</t>
  </si>
  <si>
    <t xml:space="preserve">  4°27'13.09"N</t>
  </si>
  <si>
    <t xml:space="preserve"> 75° 8'49.96"O</t>
  </si>
  <si>
    <t xml:space="preserve">  4°27'13.19"N</t>
  </si>
  <si>
    <t xml:space="preserve"> 4°27'13.03"N</t>
  </si>
  <si>
    <t xml:space="preserve"> 75° 8'50.00"O</t>
  </si>
  <si>
    <t xml:space="preserve">  4°27'12.89"N</t>
  </si>
  <si>
    <t xml:space="preserve"> 75° 8'49.84"O</t>
  </si>
  <si>
    <t xml:space="preserve">  4°27'12.99"N</t>
  </si>
  <si>
    <t>75° 8'49.93"O</t>
  </si>
  <si>
    <t>4°27'13.00"N</t>
  </si>
  <si>
    <t xml:space="preserve"> 75° 8'51.25"O</t>
  </si>
  <si>
    <t xml:space="preserve">  4°27'13.34"N</t>
  </si>
  <si>
    <t xml:space="preserve"> 75° 8'52.39"O</t>
  </si>
  <si>
    <t xml:space="preserve">  4°27'15.01"N</t>
  </si>
  <si>
    <t xml:space="preserve"> 75° 8'52.94"O</t>
  </si>
  <si>
    <t xml:space="preserve">  4°27'15.20"N</t>
  </si>
  <si>
    <t xml:space="preserve"> 75° 8'52.66"O</t>
  </si>
  <si>
    <t xml:space="preserve">  4°27'15.24"N</t>
  </si>
  <si>
    <t xml:space="preserve"> 75° 8'53.09"O</t>
  </si>
  <si>
    <t xml:space="preserve">  4°27'15.32"N</t>
  </si>
  <si>
    <t xml:space="preserve"> 75° 8'53.50"O</t>
  </si>
  <si>
    <t xml:space="preserve">  4°27'14.86"N</t>
  </si>
  <si>
    <t xml:space="preserve"> 75° 8'53.51"O</t>
  </si>
  <si>
    <t xml:space="preserve">  4°27'14.81"N</t>
  </si>
  <si>
    <t xml:space="preserve"> 75° 8'53.61"O</t>
  </si>
  <si>
    <t xml:space="preserve">  4°27'14.65"N</t>
  </si>
  <si>
    <t xml:space="preserve"> 75° 8'54.61"O</t>
  </si>
  <si>
    <t xml:space="preserve">  4°27'14.73"N</t>
  </si>
  <si>
    <t xml:space="preserve"> 75° 8'53.43"O</t>
  </si>
  <si>
    <t xml:space="preserve">  4°27'15.55"N</t>
  </si>
  <si>
    <t xml:space="preserve"> 75° 8'53.69"O</t>
  </si>
  <si>
    <t xml:space="preserve">  4°27'15.41"N</t>
  </si>
  <si>
    <t xml:space="preserve"> 75° 8'54.81"O</t>
  </si>
  <si>
    <t xml:space="preserve"> 75° 8'54.60"O</t>
  </si>
  <si>
    <t xml:space="preserve">  4°27'15.85"N</t>
  </si>
  <si>
    <t xml:space="preserve"> 75° 8'54.76"O</t>
  </si>
  <si>
    <t xml:space="preserve">  4°27'15.89"N</t>
  </si>
  <si>
    <t xml:space="preserve"> 75° 8'55.05"O</t>
  </si>
  <si>
    <t xml:space="preserve">  4°27'16.04"N</t>
  </si>
  <si>
    <t xml:space="preserve"> 75° 8'55.42"O</t>
  </si>
  <si>
    <t xml:space="preserve">  4°27'15.90"N</t>
  </si>
  <si>
    <t xml:space="preserve"> 75° 8'55.60"O</t>
  </si>
  <si>
    <t xml:space="preserve">  4°27'16.11"N</t>
  </si>
  <si>
    <t xml:space="preserve"> 75° 8'55.49"O</t>
  </si>
  <si>
    <t xml:space="preserve">  4°27'16.21"N</t>
  </si>
  <si>
    <t xml:space="preserve"> 75° 8'55.66"O</t>
  </si>
  <si>
    <t xml:space="preserve">  4°27'16.16"N</t>
  </si>
  <si>
    <t xml:space="preserve"> 75° 8'56.01"O</t>
  </si>
  <si>
    <t xml:space="preserve">  4°27'16.38"N</t>
  </si>
  <si>
    <t xml:space="preserve"> 75° 8'56.11"O</t>
  </si>
  <si>
    <t xml:space="preserve">  4°27'16.59"N</t>
  </si>
  <si>
    <t xml:space="preserve"> 75° 8'56.46"O</t>
  </si>
  <si>
    <t xml:space="preserve">  4°27'16.68"N</t>
  </si>
  <si>
    <t xml:space="preserve"> 75° 8'56.74"O</t>
  </si>
  <si>
    <t xml:space="preserve">  4°27'16.80"N</t>
  </si>
  <si>
    <t xml:space="preserve"> 75° 8'57.00"O</t>
  </si>
  <si>
    <t xml:space="preserve">  4°27'17.07"N</t>
  </si>
  <si>
    <t>Medianera</t>
  </si>
  <si>
    <t>AREA TOTAL CONTRUIDA m2</t>
  </si>
  <si>
    <t>Incompleta</t>
  </si>
  <si>
    <t>Autoconstruccion</t>
  </si>
  <si>
    <t>Alcantarillado, Acueducto, Electricidad, Gas, Telefono</t>
  </si>
  <si>
    <t>PARAMETROS SOCIOECONOMICO (habitanntes)</t>
  </si>
  <si>
    <t>Placa maciza de concreto</t>
  </si>
  <si>
    <t>Mamposteria no reforzada</t>
  </si>
  <si>
    <t>Estructura de madera y teja</t>
  </si>
  <si>
    <t>No realizadas</t>
  </si>
  <si>
    <t>Baja o inexistente</t>
  </si>
  <si>
    <t>baja o inexistente</t>
  </si>
  <si>
    <t>TIPOLOGIA ESTRUCTURAL DE LA EDIFICACION</t>
  </si>
  <si>
    <t>Deficiencias constructivas</t>
  </si>
  <si>
    <t>No presenta daños</t>
  </si>
  <si>
    <t>No se ha inundado</t>
  </si>
  <si>
    <t>Elementos verticales</t>
  </si>
  <si>
    <t>Elementos Horizontales</t>
  </si>
  <si>
    <t>Elementos no estructurales</t>
  </si>
  <si>
    <t>C</t>
  </si>
  <si>
    <t>Zapatas (No identificada)</t>
  </si>
  <si>
    <t>Zapatas (No identificada); placa de cimentacion</t>
  </si>
  <si>
    <t>No hay daños</t>
  </si>
  <si>
    <t>En construccion</t>
  </si>
  <si>
    <t>Entremado en madera</t>
  </si>
  <si>
    <t>Despues de 1998</t>
  </si>
  <si>
    <t>No se han reparado</t>
  </si>
  <si>
    <t>Acueducto, Electricidad</t>
  </si>
  <si>
    <t>Alta</t>
  </si>
  <si>
    <t>Movimiento en masa, Inundaciones</t>
  </si>
  <si>
    <t>Esquinera</t>
  </si>
  <si>
    <t>Movimiento en masa, Deficiencias constructivas</t>
  </si>
  <si>
    <t>Lamina colaborante</t>
  </si>
  <si>
    <t>Sistema combinado en concreto reforzado</t>
  </si>
  <si>
    <t>Estructura metalica y teja</t>
  </si>
  <si>
    <t>En altura</t>
  </si>
  <si>
    <t>B</t>
  </si>
  <si>
    <t>Acueducto, Electricidad, Gas, Telefono</t>
  </si>
  <si>
    <t>conexiones improvisadas</t>
  </si>
  <si>
    <t>Media</t>
  </si>
  <si>
    <t>Fisuras</t>
  </si>
  <si>
    <t>Acueducto, Gas, Telefono</t>
  </si>
  <si>
    <t>Asentamientos, Deficiencias constructivas</t>
  </si>
  <si>
    <t>Zapatas, Vigas corridas,No identificada; placa de cimentacion</t>
  </si>
  <si>
    <t>Mamposteria reforzada</t>
  </si>
  <si>
    <t>En extension</t>
  </si>
  <si>
    <t>Profundidad</t>
  </si>
  <si>
    <t>Placa aligerada del concreto</t>
  </si>
  <si>
    <t>Porticos en concreto reforzado</t>
  </si>
  <si>
    <t>No se han reparado, No hay daños</t>
  </si>
  <si>
    <t>Alcantarillado, Acueducto, Electricidad, Gas</t>
  </si>
  <si>
    <t>No identificada</t>
  </si>
  <si>
    <t>Completa</t>
  </si>
  <si>
    <t>Porticos en concreto reforzado, Mamposteria reforzada</t>
  </si>
  <si>
    <t>Humedas</t>
  </si>
  <si>
    <t>Desprendimiento de pintura</t>
  </si>
  <si>
    <t>Placa de cimentacion, No identificada</t>
  </si>
  <si>
    <t>Portico en concreto reforzado, Mamposteria reforzada</t>
  </si>
  <si>
    <t>no identificada</t>
  </si>
  <si>
    <t>Despues de 1999</t>
  </si>
  <si>
    <t>no se ha inundado</t>
  </si>
  <si>
    <t>Ninguna</t>
  </si>
  <si>
    <t>IRREGULARIDAD EN ALTURA</t>
  </si>
  <si>
    <t>Estructura de madera y teja (lote)</t>
  </si>
  <si>
    <t>Sin Informacion</t>
  </si>
  <si>
    <t>REPARACION DE DAÑOS ANTERIORES</t>
  </si>
  <si>
    <t>No Aplica</t>
  </si>
  <si>
    <t>MZ_G3</t>
  </si>
  <si>
    <t>No aplica</t>
  </si>
  <si>
    <t>conexiones Improvisadas</t>
  </si>
  <si>
    <t>N/A</t>
  </si>
  <si>
    <t>MZ_K1-</t>
  </si>
  <si>
    <t>MZ_G2-</t>
  </si>
  <si>
    <t>MZ_H1-</t>
  </si>
  <si>
    <t>MZ_J5-</t>
  </si>
  <si>
    <t>MZ_K4-</t>
  </si>
  <si>
    <t xml:space="preserve"> 75° 8'54.43"O</t>
  </si>
  <si>
    <t xml:space="preserve">  4°27'15.74"N</t>
  </si>
  <si>
    <t>Alcantarillado, Acueducto, Electricidad</t>
  </si>
  <si>
    <t>Portico en concreto reforzado</t>
  </si>
  <si>
    <t>No identificado</t>
  </si>
  <si>
    <t>Conexiones aguas servidas mpio</t>
  </si>
  <si>
    <t>75° 8'52.79"O</t>
  </si>
  <si>
    <t xml:space="preserve">  4°27'15.35"N</t>
  </si>
  <si>
    <t xml:space="preserve"> 75° 8'53.15"O</t>
  </si>
  <si>
    <t>Placa de cimentacion</t>
  </si>
  <si>
    <t xml:space="preserve"> 75° 8'54.07"O</t>
  </si>
  <si>
    <t xml:space="preserve">  4°27'14.38"N</t>
  </si>
  <si>
    <t>No hay edificacion</t>
  </si>
  <si>
    <t>No construido</t>
  </si>
  <si>
    <t xml:space="preserve"> 75° 8'54.66"O</t>
  </si>
  <si>
    <t xml:space="preserve">  4°27'14.50"N</t>
  </si>
  <si>
    <t>CLASIFICACION DE LA OBRA LINEAL</t>
  </si>
  <si>
    <t>DIRECCION</t>
  </si>
  <si>
    <t xml:space="preserve">NUMERO </t>
  </si>
  <si>
    <t>IDENTIFICACION DE LA EDIFICACION</t>
  </si>
  <si>
    <t>TIPO DE OBRA LINEAL</t>
  </si>
  <si>
    <t>REDES VIALES</t>
  </si>
  <si>
    <t>REDES DEL SERVICIO PUBLICO</t>
  </si>
  <si>
    <t>Red de Acueducto</t>
  </si>
  <si>
    <t>Red de Alcantarillado</t>
  </si>
  <si>
    <t>Red electrica</t>
  </si>
  <si>
    <t>Red vial</t>
  </si>
  <si>
    <t>Red de servicio publico</t>
  </si>
  <si>
    <t>Tipo de Arteria Vial</t>
  </si>
  <si>
    <t>Av principal</t>
  </si>
  <si>
    <t>LONGITUD (m)</t>
  </si>
  <si>
    <t xml:space="preserve"> 75° 8'46.37"W</t>
  </si>
  <si>
    <t xml:space="preserve">  4°27'14.35"N</t>
  </si>
  <si>
    <t>Arteria vial</t>
  </si>
  <si>
    <t>Acueducto, Alcantarillado, Gas, Electricidad, comunicacion</t>
  </si>
  <si>
    <t>Ancho (m)</t>
  </si>
  <si>
    <t>Intermedia (V6-16m)</t>
  </si>
  <si>
    <t>tipo de materialde la estructura</t>
  </si>
  <si>
    <t>Ancho de la berma</t>
  </si>
  <si>
    <t>Numero de calzadas</t>
  </si>
  <si>
    <t>Numero de carriles por calzada</t>
  </si>
  <si>
    <t xml:space="preserve">Ancho del carril </t>
  </si>
  <si>
    <t>Ancho de andenes</t>
  </si>
  <si>
    <t>Pavimento</t>
  </si>
  <si>
    <t>1-1..5</t>
  </si>
  <si>
    <t>No hay</t>
  </si>
  <si>
    <t>Via destapada</t>
  </si>
  <si>
    <t>Local&lt;18"
Diametro 8"
material PVC corrugado</t>
  </si>
  <si>
    <t xml:space="preserve">Local (1/2"-2")
Diametro: </t>
  </si>
  <si>
    <t>DIAGNOSTICO DE VULNERABILIDAD PREDIAL</t>
  </si>
  <si>
    <t>INDICADOR</t>
  </si>
  <si>
    <t>TOTAL</t>
  </si>
  <si>
    <t>Total de predios inspeccionados</t>
  </si>
  <si>
    <t>Área total construida</t>
  </si>
  <si>
    <t>Población expuesta</t>
  </si>
  <si>
    <t>Promedio de ocupación</t>
  </si>
  <si>
    <t>Sistema estructural</t>
  </si>
  <si>
    <t>Numero de predios</t>
  </si>
  <si>
    <t>Porcentaje (%)</t>
  </si>
  <si>
    <t>Mampostería no reforzada</t>
  </si>
  <si>
    <t>Mampostería reforzada</t>
  </si>
  <si>
    <t>Sistema combinado en concreto</t>
  </si>
  <si>
    <t>Total</t>
  </si>
  <si>
    <t>Estado de la Construcción</t>
  </si>
  <si>
    <t>N° Predios</t>
  </si>
  <si>
    <t>Calidad Predominante</t>
  </si>
  <si>
    <t>Autoconstrucción (85.7%)</t>
  </si>
  <si>
    <t>En construcción</t>
  </si>
  <si>
    <t>Autoconstrucción</t>
  </si>
  <si>
    <t>Terminada</t>
  </si>
  <si>
    <t xml:space="preserve">elementos verticales </t>
  </si>
  <si>
    <t>elementos horizontales</t>
  </si>
  <si>
    <t>Elementos Expuestos</t>
  </si>
  <si>
    <t xml:space="preserve">Moderado </t>
  </si>
  <si>
    <t>Zapatas</t>
  </si>
  <si>
    <t>Zapatas y placa de cimentacion</t>
  </si>
  <si>
    <t>Zapatas, vigas y placa de cimentacion</t>
  </si>
  <si>
    <t>valor</t>
  </si>
  <si>
    <t>SISTEMA ENTRE PISOS</t>
  </si>
  <si>
    <t>no aplica</t>
  </si>
  <si>
    <t>Placa mazisa de concreto</t>
  </si>
  <si>
    <t>entremado en madera</t>
  </si>
  <si>
    <t>MZ_A_INVASION_2</t>
  </si>
  <si>
    <t>MZ_A_INVASION_1</t>
  </si>
  <si>
    <t>75° 8'50.69"O</t>
  </si>
  <si>
    <t xml:space="preserve">  4°27'13.78"N</t>
  </si>
  <si>
    <t>Sin informacion</t>
  </si>
  <si>
    <t>Acueducto, Electricidad, Gas</t>
  </si>
  <si>
    <t>Valor</t>
  </si>
  <si>
    <t>VALOR</t>
  </si>
  <si>
    <t xml:space="preserve">Sin informacion </t>
  </si>
  <si>
    <t>Despues de 1998 (2004)</t>
  </si>
  <si>
    <t>Despues de 1998 (2017)</t>
  </si>
  <si>
    <t>Despues de 1998 (2003)</t>
  </si>
  <si>
    <t>Despues de 1998 (2002)</t>
  </si>
  <si>
    <t>ZONAS Y ESCENARIOS DE EXPOSICION</t>
  </si>
  <si>
    <t>ZONA 1</t>
  </si>
  <si>
    <t>MZ_H_LOTE</t>
  </si>
  <si>
    <t>Bajo o inexistente</t>
  </si>
  <si>
    <t>TIPOLOGIA ESTRUCTURAL</t>
  </si>
  <si>
    <t xml:space="preserve">Inundaciones </t>
  </si>
  <si>
    <t xml:space="preserve">Fisuras </t>
  </si>
  <si>
    <t>Conexiones de aguas servidas mpio</t>
  </si>
  <si>
    <t>Conexiones improvisadas</t>
  </si>
  <si>
    <t>PORCENTAJE</t>
  </si>
  <si>
    <t>Ttal</t>
  </si>
  <si>
    <t>D</t>
  </si>
  <si>
    <t>STIP</t>
  </si>
  <si>
    <t>SALT</t>
  </si>
  <si>
    <t>SCON</t>
  </si>
  <si>
    <t>SED</t>
  </si>
  <si>
    <t>SE</t>
  </si>
  <si>
    <t>%</t>
  </si>
  <si>
    <t>CATEGORIA DE FRAGILIDAD</t>
  </si>
  <si>
    <t>Muy alta</t>
  </si>
  <si>
    <t>Media-Alta</t>
  </si>
  <si>
    <t>Muy Alta</t>
  </si>
  <si>
    <t xml:space="preserve">Alta </t>
  </si>
  <si>
    <t>Media Alta</t>
  </si>
  <si>
    <t xml:space="preserve">Mediia tension: 5001
diamtro de poste: </t>
  </si>
  <si>
    <t>FRAGILIDAD EDIFICACIONES</t>
  </si>
  <si>
    <t>FRAGILIDAD PERSONAS</t>
  </si>
  <si>
    <t>SPER</t>
  </si>
  <si>
    <t>SEteorico</t>
  </si>
  <si>
    <t>Predio</t>
  </si>
  <si>
    <t>Seteotico</t>
  </si>
  <si>
    <t>UBICACION EN LA MANZANA</t>
  </si>
  <si>
    <t xml:space="preserve">Medianera </t>
  </si>
  <si>
    <t>no esta contruida</t>
  </si>
  <si>
    <t xml:space="preserve">Total </t>
  </si>
  <si>
    <t>completa</t>
  </si>
  <si>
    <t>ZONA 2</t>
  </si>
  <si>
    <t>INTENSIDAD</t>
  </si>
  <si>
    <t>Idef</t>
  </si>
  <si>
    <t>Ivel</t>
  </si>
  <si>
    <t>Ipro</t>
  </si>
  <si>
    <t>I</t>
  </si>
  <si>
    <t>1-Se</t>
  </si>
  <si>
    <t>zonificacion</t>
  </si>
  <si>
    <t>Baja</t>
  </si>
  <si>
    <t>VULNERABILIDAD PERSONAS</t>
  </si>
  <si>
    <t>ZONIFICACION</t>
  </si>
  <si>
    <t>VULNERABILIDAD FISICA</t>
  </si>
  <si>
    <t>Vulnerabilidad fisica</t>
  </si>
  <si>
    <t xml:space="preserve">Media </t>
  </si>
  <si>
    <t>Vulnerabilidad personas</t>
  </si>
  <si>
    <t>P(Hi)</t>
  </si>
  <si>
    <t>V</t>
  </si>
  <si>
    <t>E</t>
  </si>
  <si>
    <t>RIESGO ESPECIFICO</t>
  </si>
  <si>
    <t>RIESGO PERSONAS</t>
  </si>
  <si>
    <t>Medio</t>
  </si>
  <si>
    <t>Bajo</t>
  </si>
  <si>
    <t>RIESGO TOTAL</t>
  </si>
  <si>
    <t>Muy bajo</t>
  </si>
  <si>
    <t>CALCULO DEL RIESGO</t>
  </si>
  <si>
    <t>COSTO UNITARIO CONSTRUIDO (Cop/m2)</t>
  </si>
  <si>
    <t>PERDIDA ECONOMICA</t>
  </si>
  <si>
    <t>CALCULO DEL RIESGO POR PERDIDAS ECONOMICAS</t>
  </si>
  <si>
    <t>AÑO</t>
  </si>
  <si>
    <t>PERDIDA POR EVENTO</t>
  </si>
  <si>
    <t>PERDIDA ACUMULADA</t>
  </si>
  <si>
    <t>Pe</t>
  </si>
  <si>
    <t>Re</t>
  </si>
  <si>
    <t>EXPOSICION TOTAL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</si>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</sst>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0.0"/>
    <numFmt numFmtId="165" formatCode="0.000"/>
    <numFmt numFmtId="166" formatCode="0.000%"/>
    <numFmt numFmtId="167" formatCode="0.000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9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justify" vertical="center" wrapText="1"/>
    </xf>
    <xf numFmtId="0" fontId="1" fillId="5" borderId="1" xfId="0" applyFont="1" applyFill="1" applyBorder="1"/>
    <xf numFmtId="0" fontId="3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23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67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0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67" fontId="0" fillId="2" borderId="1" xfId="1" applyNumberFormat="1" applyFont="1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1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166" fontId="0" fillId="0" borderId="7" xfId="1" applyNumberFormat="1" applyFont="1" applyBorder="1" applyAlignment="1">
      <alignment vertical="center"/>
    </xf>
    <xf numFmtId="0" fontId="0" fillId="9" borderId="8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167" fontId="0" fillId="2" borderId="8" xfId="1" applyNumberFormat="1" applyFont="1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8" xfId="0" applyFill="1" applyBorder="1" applyAlignment="1">
      <alignment horizontal="left"/>
    </xf>
    <xf numFmtId="166" fontId="0" fillId="0" borderId="9" xfId="1" applyNumberFormat="1" applyFont="1" applyBorder="1" applyAlignment="1">
      <alignment vertical="center"/>
    </xf>
    <xf numFmtId="9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0" fontId="0" fillId="0" borderId="10" xfId="0" applyNumberFormat="1" applyBorder="1" applyAlignment="1">
      <alignment vertical="center"/>
    </xf>
    <xf numFmtId="0" fontId="0" fillId="7" borderId="11" xfId="0" applyFill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44" fontId="0" fillId="0" borderId="0" xfId="0" applyNumberFormat="1"/>
    <xf numFmtId="44" fontId="0" fillId="0" borderId="1" xfId="2" applyFont="1" applyFill="1" applyBorder="1" applyAlignment="1">
      <alignment horizontal="center" vertical="center"/>
    </xf>
    <xf numFmtId="44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44" fontId="1" fillId="0" borderId="32" xfId="0" applyNumberFormat="1" applyFont="1" applyBorder="1"/>
    <xf numFmtId="44" fontId="1" fillId="0" borderId="33" xfId="0" applyNumberFormat="1" applyFont="1" applyBorder="1"/>
    <xf numFmtId="0" fontId="0" fillId="0" borderId="0" xfId="0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44" fontId="0" fillId="0" borderId="8" xfId="0" applyNumberFormat="1" applyBorder="1"/>
    <xf numFmtId="0" fontId="0" fillId="0" borderId="10" xfId="0" applyBorder="1" applyAlignment="1">
      <alignment horizontal="center"/>
    </xf>
    <xf numFmtId="44" fontId="0" fillId="0" borderId="10" xfId="0" applyNumberFormat="1" applyBorder="1"/>
    <xf numFmtId="44" fontId="0" fillId="0" borderId="11" xfId="0" applyNumberFormat="1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0000"/>
      <color rgb="FFE1A0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DIAGNOSTICA</a:t>
            </a:r>
            <a:r>
              <a:rPr lang="es-CO" baseline="0"/>
              <a:t> DE VULNERABILIDAD PREDIAL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A0-4680-A411-43D58B01A3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A0-4680-A411-43D58B01A3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A0-4680-A411-43D58B01A34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A0-4680-A411-43D58B01A34B}"/>
              </c:ext>
            </c:extLst>
          </c:dPt>
          <c:cat>
            <c:strRef>
              <c:f>'ANALISIS DE DATOS'!$A$4:$A$7</c:f>
              <c:strCache>
                <c:ptCount val="4"/>
                <c:pt idx="0">
                  <c:v>Total de predios inspeccionados</c:v>
                </c:pt>
                <c:pt idx="1">
                  <c:v>Área total construida</c:v>
                </c:pt>
                <c:pt idx="2">
                  <c:v>Población expuesta</c:v>
                </c:pt>
                <c:pt idx="3">
                  <c:v>Promedio de ocupación</c:v>
                </c:pt>
              </c:strCache>
            </c:strRef>
          </c:cat>
          <c:val>
            <c:numRef>
              <c:f>'ANALISIS DE DATOS'!$B$4:$B$7</c:f>
              <c:numCache>
                <c:formatCode>General</c:formatCode>
                <c:ptCount val="4"/>
                <c:pt idx="0">
                  <c:v>36</c:v>
                </c:pt>
                <c:pt idx="1">
                  <c:v>2257</c:v>
                </c:pt>
                <c:pt idx="2">
                  <c:v>101</c:v>
                </c:pt>
                <c:pt idx="3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1-44B2-9B7C-BEF75F08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sistema</a:t>
            </a:r>
            <a:r>
              <a:rPr lang="es-CO" baseline="0"/>
              <a:t> estructural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DATOS'!$B$12</c:f>
              <c:strCache>
                <c:ptCount val="1"/>
                <c:pt idx="0">
                  <c:v>Numero de predios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DE DATOS'!$A$13:$A$15</c:f>
              <c:strCache>
                <c:ptCount val="3"/>
                <c:pt idx="0">
                  <c:v>Mampostería no reforzada</c:v>
                </c:pt>
                <c:pt idx="1">
                  <c:v>Mampostería reforzada</c:v>
                </c:pt>
                <c:pt idx="2">
                  <c:v>Sistema combinado en concreto</c:v>
                </c:pt>
              </c:strCache>
            </c:strRef>
          </c:cat>
          <c:val>
            <c:numRef>
              <c:f>'ANALISIS DE DATOS'!$B$13:$B$15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CD1-98AE-C2896F87A180}"/>
            </c:ext>
          </c:extLst>
        </c:ser>
        <c:ser>
          <c:idx val="1"/>
          <c:order val="1"/>
          <c:tx>
            <c:strRef>
              <c:f>'ANALISIS DE DATOS'!$C$12</c:f>
              <c:strCache>
                <c:ptCount val="1"/>
                <c:pt idx="0">
                  <c:v>Porcentaje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DE DATOS'!$A$13:$A$15</c:f>
              <c:strCache>
                <c:ptCount val="3"/>
                <c:pt idx="0">
                  <c:v>Mampostería no reforzada</c:v>
                </c:pt>
                <c:pt idx="1">
                  <c:v>Mampostería reforzada</c:v>
                </c:pt>
                <c:pt idx="2">
                  <c:v>Sistema combinado en concreto</c:v>
                </c:pt>
              </c:strCache>
            </c:strRef>
          </c:cat>
          <c:val>
            <c:numRef>
              <c:f>'ANALISIS DE DATOS'!$C$13:$C$15</c:f>
              <c:numCache>
                <c:formatCode>General</c:formatCode>
                <c:ptCount val="3"/>
                <c:pt idx="0">
                  <c:v>88.6</c:v>
                </c:pt>
                <c:pt idx="1">
                  <c:v>8.6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8-4CD1-98AE-C2896F87A1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2586704"/>
        <c:axId val="1193890824"/>
      </c:barChart>
      <c:catAx>
        <c:axId val="11925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3890824"/>
        <c:crosses val="autoZero"/>
        <c:auto val="1"/>
        <c:lblAlgn val="ctr"/>
        <c:lblOffset val="100"/>
        <c:noMultiLvlLbl val="0"/>
      </c:catAx>
      <c:valAx>
        <c:axId val="1193890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25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ESTADO</a:t>
            </a:r>
            <a:r>
              <a:rPr lang="es-CO" baseline="0"/>
              <a:t> DE LA CONSTRUCCION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DATOS'!$B$20</c:f>
              <c:strCache>
                <c:ptCount val="1"/>
                <c:pt idx="0">
                  <c:v>N° Predios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80-48E0-A3DB-A87BC4E091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80-48E0-A3DB-A87BC4E091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80-48E0-A3DB-A87BC4E091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DATOS'!$A$21:$A$23</c:f>
              <c:strCache>
                <c:ptCount val="3"/>
                <c:pt idx="0">
                  <c:v>Incompleta</c:v>
                </c:pt>
                <c:pt idx="1">
                  <c:v>En construcción</c:v>
                </c:pt>
                <c:pt idx="2">
                  <c:v>Terminada</c:v>
                </c:pt>
              </c:strCache>
            </c:strRef>
          </c:cat>
          <c:val>
            <c:numRef>
              <c:f>'ANALISIS DE DATOS'!$B$21:$B$23</c:f>
              <c:numCache>
                <c:formatCode>General</c:formatCode>
                <c:ptCount val="3"/>
                <c:pt idx="0">
                  <c:v>30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9-495A-9282-4792A61235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ELEMENTOS</a:t>
            </a:r>
            <a:r>
              <a:rPr lang="es-CO" baseline="0"/>
              <a:t> EXPUESTO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DATOS'!$A$37</c:f>
              <c:strCache>
                <c:ptCount val="1"/>
                <c:pt idx="0">
                  <c:v>elementos verticales 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'ANALISIS DE DATOS'!$B$36:$F$36</c:f>
              <c:strCache>
                <c:ptCount val="5"/>
                <c:pt idx="0">
                  <c:v>Ninguno</c:v>
                </c:pt>
                <c:pt idx="1">
                  <c:v>Leve</c:v>
                </c:pt>
                <c:pt idx="2">
                  <c:v>Moderado </c:v>
                </c:pt>
                <c:pt idx="3">
                  <c:v>No identificado</c:v>
                </c:pt>
                <c:pt idx="4">
                  <c:v>N/A</c:v>
                </c:pt>
              </c:strCache>
            </c:strRef>
          </c:cat>
          <c:val>
            <c:numRef>
              <c:f>'ANALISIS DE DATOS'!$B$37:$F$37</c:f>
              <c:numCache>
                <c:formatCode>General</c:formatCode>
                <c:ptCount val="5"/>
                <c:pt idx="0">
                  <c:v>26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189-9EAC-8E408124CAA0}"/>
            </c:ext>
          </c:extLst>
        </c:ser>
        <c:ser>
          <c:idx val="1"/>
          <c:order val="1"/>
          <c:tx>
            <c:strRef>
              <c:f>'ANALISIS DE DATOS'!$A$38</c:f>
              <c:strCache>
                <c:ptCount val="1"/>
                <c:pt idx="0">
                  <c:v>elementos horizontales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'ANALISIS DE DATOS'!$B$36:$F$36</c:f>
              <c:strCache>
                <c:ptCount val="5"/>
                <c:pt idx="0">
                  <c:v>Ninguno</c:v>
                </c:pt>
                <c:pt idx="1">
                  <c:v>Leve</c:v>
                </c:pt>
                <c:pt idx="2">
                  <c:v>Moderado </c:v>
                </c:pt>
                <c:pt idx="3">
                  <c:v>No identificado</c:v>
                </c:pt>
                <c:pt idx="4">
                  <c:v>N/A</c:v>
                </c:pt>
              </c:strCache>
            </c:strRef>
          </c:cat>
          <c:val>
            <c:numRef>
              <c:f>'ANALISIS DE DATOS'!$B$38:$F$38</c:f>
              <c:numCache>
                <c:formatCode>General</c:formatCode>
                <c:ptCount val="5"/>
                <c:pt idx="0">
                  <c:v>30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6-4189-9EAC-8E408124CAA0}"/>
            </c:ext>
          </c:extLst>
        </c:ser>
        <c:ser>
          <c:idx val="2"/>
          <c:order val="2"/>
          <c:tx>
            <c:strRef>
              <c:f>'ANALISIS DE DATOS'!$A$39</c:f>
              <c:strCache>
                <c:ptCount val="1"/>
                <c:pt idx="0">
                  <c:v>Elementos no estructurales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'ANALISIS DE DATOS'!$B$36:$F$36</c:f>
              <c:strCache>
                <c:ptCount val="5"/>
                <c:pt idx="0">
                  <c:v>Ninguno</c:v>
                </c:pt>
                <c:pt idx="1">
                  <c:v>Leve</c:v>
                </c:pt>
                <c:pt idx="2">
                  <c:v>Moderado </c:v>
                </c:pt>
                <c:pt idx="3">
                  <c:v>No identificado</c:v>
                </c:pt>
                <c:pt idx="4">
                  <c:v>N/A</c:v>
                </c:pt>
              </c:strCache>
            </c:strRef>
          </c:cat>
          <c:val>
            <c:numRef>
              <c:f>'ANALISIS DE DATOS'!$B$39:$F$39</c:f>
              <c:numCache>
                <c:formatCode>General</c:formatCode>
                <c:ptCount val="5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86-4189-9EAC-8E408124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296984"/>
        <c:axId val="1188297344"/>
      </c:barChart>
      <c:catAx>
        <c:axId val="118829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8297344"/>
        <c:crosses val="autoZero"/>
        <c:auto val="1"/>
        <c:lblAlgn val="ctr"/>
        <c:lblOffset val="100"/>
        <c:noMultiLvlLbl val="0"/>
      </c:catAx>
      <c:valAx>
        <c:axId val="11882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829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CIMENTACION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DATOS'!$B$27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B-4220-9879-804E7CFC24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B-4220-9879-804E7CFC24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1B-4220-9879-804E7CFC24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1B-4220-9879-804E7CFC24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1B-4220-9879-804E7CFC24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1B-4220-9879-804E7CFC24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DATOS'!$A$28:$A$33</c:f>
              <c:strCache>
                <c:ptCount val="6"/>
                <c:pt idx="0">
                  <c:v>Zapatas</c:v>
                </c:pt>
                <c:pt idx="1">
                  <c:v>Zapatas y placa de cimentacion</c:v>
                </c:pt>
                <c:pt idx="2">
                  <c:v>Placa de cimentacion</c:v>
                </c:pt>
                <c:pt idx="3">
                  <c:v>Zapatas, vigas y placa de cimentacion</c:v>
                </c:pt>
                <c:pt idx="4">
                  <c:v>No identificado</c:v>
                </c:pt>
                <c:pt idx="5">
                  <c:v>N/A</c:v>
                </c:pt>
              </c:strCache>
            </c:strRef>
          </c:cat>
          <c:val>
            <c:numRef>
              <c:f>'ANALISIS DE DATOS'!$B$28:$B$33</c:f>
              <c:numCache>
                <c:formatCode>General</c:formatCode>
                <c:ptCount val="6"/>
                <c:pt idx="0">
                  <c:v>23</c:v>
                </c:pt>
                <c:pt idx="1">
                  <c:v>13</c:v>
                </c:pt>
                <c:pt idx="2">
                  <c:v>1</c:v>
                </c:pt>
                <c:pt idx="3">
                  <c:v>9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9-46BF-A26D-2B8AF49067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SISTEMA</a:t>
            </a:r>
            <a:r>
              <a:rPr lang="es-CO" baseline="0"/>
              <a:t> ENTREPISOS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DATOS'!$B$41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9D-4E17-937B-EBD808EC3F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9D-4E17-937B-EBD808EC3F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9D-4E17-937B-EBD808EC3F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9D-4E17-937B-EBD808EC3F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9D-4E17-937B-EBD808EC3F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DATOS'!$A$42:$A$46</c:f>
              <c:strCache>
                <c:ptCount val="5"/>
                <c:pt idx="0">
                  <c:v>no aplica</c:v>
                </c:pt>
                <c:pt idx="1">
                  <c:v>Placa mazisa de concreto</c:v>
                </c:pt>
                <c:pt idx="2">
                  <c:v>entremado en madera</c:v>
                </c:pt>
                <c:pt idx="3">
                  <c:v>No identificado</c:v>
                </c:pt>
                <c:pt idx="4">
                  <c:v>N/A</c:v>
                </c:pt>
              </c:strCache>
            </c:strRef>
          </c:cat>
          <c:val>
            <c:numRef>
              <c:f>'ANALISIS DE DATOS'!$B$42:$B$46</c:f>
              <c:numCache>
                <c:formatCode>General</c:formatCode>
                <c:ptCount val="5"/>
                <c:pt idx="0">
                  <c:v>19</c:v>
                </c:pt>
                <c:pt idx="1">
                  <c:v>12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5-41D8-9F1C-EEF84BF083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FECHA</a:t>
            </a:r>
            <a:r>
              <a:rPr lang="es-CO" baseline="0"/>
              <a:t> DE CONSTRUCCION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DATOS'!$B$49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EC-4AD5-9CD3-D89EDFCD59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EC-4AD5-9CD3-D89EDFCD59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EC-4AD5-9CD3-D89EDFCD59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DATOS'!$A$50:$A$52</c:f>
              <c:strCache>
                <c:ptCount val="3"/>
                <c:pt idx="0">
                  <c:v>Despues de 1999</c:v>
                </c:pt>
                <c:pt idx="1">
                  <c:v>Sin informacion </c:v>
                </c:pt>
                <c:pt idx="2">
                  <c:v>N/A</c:v>
                </c:pt>
              </c:strCache>
            </c:strRef>
          </c:cat>
          <c:val>
            <c:numRef>
              <c:f>'ANALISIS DE DATOS'!$B$50:$B$52</c:f>
              <c:numCache>
                <c:formatCode>General</c:formatCode>
                <c:ptCount val="3"/>
                <c:pt idx="0">
                  <c:v>31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5-4A10-9697-51CD964E58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ZONAS</a:t>
            </a:r>
            <a:r>
              <a:rPr lang="en-US" baseline="0"/>
              <a:t> Y ESCENARIOS DE EXPOSICION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'ANALISIS DE DATOS'!$B$55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'ANALISIS DE DATOS'!$A$56:$A$58</c:f>
              <c:strCache>
                <c:ptCount val="3"/>
                <c:pt idx="0">
                  <c:v>ZONA 1</c:v>
                </c:pt>
                <c:pt idx="1">
                  <c:v>ZONA 2</c:v>
                </c:pt>
                <c:pt idx="2">
                  <c:v>N/A</c:v>
                </c:pt>
              </c:strCache>
            </c:strRef>
          </c:cat>
          <c:val>
            <c:numRef>
              <c:f>'ANALISIS DE DATOS'!$B$56:$B$58</c:f>
              <c:numCache>
                <c:formatCode>General</c:formatCode>
                <c:ptCount val="3"/>
                <c:pt idx="0">
                  <c:v>27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E-43CB-A7A1-2DB3156B4B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8692720"/>
        <c:axId val="528693080"/>
      </c:barChart>
      <c:catAx>
        <c:axId val="5286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8693080"/>
        <c:crosses val="autoZero"/>
        <c:auto val="1"/>
        <c:lblAlgn val="ctr"/>
        <c:lblOffset val="100"/>
        <c:noMultiLvlLbl val="0"/>
      </c:catAx>
      <c:valAx>
        <c:axId val="52869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869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IRREGULARIDADES</a:t>
            </a:r>
            <a:r>
              <a:rPr lang="en-US" baseline="0"/>
              <a:t> EN PLANTA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DATOS'!$B$61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83-4846-8F0F-73F839D6A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83-4846-8F0F-73F839D6A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83-4846-8F0F-73F839D6A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83-4846-8F0F-73F839D6A5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DATOS'!$A$62:$A$65</c:f>
              <c:strCache>
                <c:ptCount val="4"/>
                <c:pt idx="0">
                  <c:v>Alta</c:v>
                </c:pt>
                <c:pt idx="1">
                  <c:v>Bajo o inexistente</c:v>
                </c:pt>
                <c:pt idx="2">
                  <c:v>Media</c:v>
                </c:pt>
                <c:pt idx="3">
                  <c:v>N/A</c:v>
                </c:pt>
              </c:strCache>
            </c:strRef>
          </c:cat>
          <c:val>
            <c:numRef>
              <c:f>'ANALISIS DE DATOS'!$B$62:$B$65</c:f>
              <c:numCache>
                <c:formatCode>General</c:formatCode>
                <c:ptCount val="4"/>
                <c:pt idx="0">
                  <c:v>7</c:v>
                </c:pt>
                <c:pt idx="1">
                  <c:v>22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A-4A6C-A71F-2B1276ED59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IRREGULARIDADES</a:t>
            </a:r>
            <a:r>
              <a:rPr lang="es-CO" baseline="0"/>
              <a:t> EN ALTURA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DATOS'!$B$68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E-483A-837F-CA22CDC9CA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E-483A-837F-CA22CDC9CA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BE-483A-837F-CA22CDC9CA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BE-483A-837F-CA22CDC9CA49}"/>
              </c:ext>
            </c:extLst>
          </c:dPt>
          <c:cat>
            <c:strRef>
              <c:f>'ANALISIS DE DATOS'!$A$69:$A$72</c:f>
              <c:strCache>
                <c:ptCount val="4"/>
                <c:pt idx="0">
                  <c:v>Alta</c:v>
                </c:pt>
                <c:pt idx="1">
                  <c:v>Bajo o inexistente</c:v>
                </c:pt>
                <c:pt idx="2">
                  <c:v>Media</c:v>
                </c:pt>
                <c:pt idx="3">
                  <c:v>N/A</c:v>
                </c:pt>
              </c:strCache>
            </c:strRef>
          </c:cat>
          <c:val>
            <c:numRef>
              <c:f>'ANALISIS DE DATOS'!$B$69:$B$72</c:f>
              <c:numCache>
                <c:formatCode>General</c:formatCode>
                <c:ptCount val="4"/>
                <c:pt idx="0">
                  <c:v>7</c:v>
                </c:pt>
                <c:pt idx="1">
                  <c:v>23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8-4512-8E57-B0342345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TIPOLOGIA</a:t>
            </a:r>
            <a:r>
              <a:rPr lang="es-CO" baseline="0"/>
              <a:t> ESTRUCTURAL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'ANALISIS DE DATOS'!$B$75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83-4B56-A135-E87FD8C76D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3-4B56-A135-E87FD8C76D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83-4B56-A135-E87FD8C76D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E3-4F56-99E5-4FAB17D077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DATOS'!$A$76:$A$79</c:f>
              <c:strCache>
                <c:ptCount val="4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N/A</c:v>
                </c:pt>
              </c:strCache>
            </c:strRef>
          </c:cat>
          <c:val>
            <c:numRef>
              <c:f>'ANALISIS DE DATOS'!$B$76:$B$79</c:f>
              <c:numCache>
                <c:formatCode>General</c:formatCode>
                <c:ptCount val="4"/>
                <c:pt idx="0">
                  <c:v>2</c:v>
                </c:pt>
                <c:pt idx="1">
                  <c:v>17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1-4B36-9850-2A5253CFE9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CAUSA</a:t>
            </a:r>
            <a:r>
              <a:rPr lang="en-US" baseline="0"/>
              <a:t> DE DAÑOS PRESENTES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DATOS'!$B$82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86-4BBA-A74B-A1F1F50C92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86-4BBA-A74B-A1F1F50C92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86-4BBA-A74B-A1F1F50C92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86-4BBA-A74B-A1F1F50C92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86-4BBA-A74B-A1F1F50C92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86-4BBA-A74B-A1F1F50C92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DATOS'!$A$83:$A$88</c:f>
              <c:strCache>
                <c:ptCount val="6"/>
                <c:pt idx="0">
                  <c:v>Asentamientos, Deficiencias constructivas</c:v>
                </c:pt>
                <c:pt idx="1">
                  <c:v>Deficiencias constructivas</c:v>
                </c:pt>
                <c:pt idx="2">
                  <c:v>Inundaciones </c:v>
                </c:pt>
                <c:pt idx="3">
                  <c:v>Movimiento en masa, Deficiencias constructivas</c:v>
                </c:pt>
                <c:pt idx="4">
                  <c:v>Movimiento en masa, Inundaciones</c:v>
                </c:pt>
                <c:pt idx="5">
                  <c:v>N/A</c:v>
                </c:pt>
              </c:strCache>
            </c:strRef>
          </c:cat>
          <c:val>
            <c:numRef>
              <c:f>'ANALISIS DE DATOS'!$B$83:$B$88</c:f>
              <c:numCache>
                <c:formatCode>General</c:formatCode>
                <c:ptCount val="6"/>
                <c:pt idx="0">
                  <c:v>1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5-481B-A4FE-36507B3BB2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CONSECUENCIAS PRESENTES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'ANALISIS DE DATOS'!$B$91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B-4079-9D1E-E6AB8F2C7A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B-4079-9D1E-E6AB8F2C7A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B-4079-9D1E-E6AB8F2C7A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AB-4079-9D1E-E6AB8F2C7A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AB-4079-9D1E-E6AB8F2C7A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AB-4079-9D1E-E6AB8F2C7A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DATOS'!$A$92:$A$97</c:f>
              <c:strCache>
                <c:ptCount val="6"/>
                <c:pt idx="0">
                  <c:v>Desprendimiento de pintura</c:v>
                </c:pt>
                <c:pt idx="1">
                  <c:v>Fisuras </c:v>
                </c:pt>
                <c:pt idx="2">
                  <c:v>Humedas</c:v>
                </c:pt>
                <c:pt idx="3">
                  <c:v>N/A</c:v>
                </c:pt>
                <c:pt idx="4">
                  <c:v>No identificado</c:v>
                </c:pt>
                <c:pt idx="5">
                  <c:v>No presenta daños</c:v>
                </c:pt>
              </c:strCache>
            </c:strRef>
          </c:cat>
          <c:val>
            <c:numRef>
              <c:f>'ANALISIS DE DATOS'!$B$92:$B$97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5-4D4D-9DB8-31CE182FB2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CONSECUENCIAS</a:t>
            </a:r>
            <a:r>
              <a:rPr lang="en-US" baseline="0"/>
              <a:t> PRESENTES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DATOS'!$B$91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8D-4990-9B89-740D1DB392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8D-4990-9B89-740D1DB392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8D-4990-9B89-740D1DB392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8D-4990-9B89-740D1DB392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8D-4990-9B89-740D1DB392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8D-4990-9B89-740D1DB392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DATOS'!$A$92:$A$97</c:f>
              <c:strCache>
                <c:ptCount val="6"/>
                <c:pt idx="0">
                  <c:v>Desprendimiento de pintura</c:v>
                </c:pt>
                <c:pt idx="1">
                  <c:v>Fisuras </c:v>
                </c:pt>
                <c:pt idx="2">
                  <c:v>Humedas</c:v>
                </c:pt>
                <c:pt idx="3">
                  <c:v>N/A</c:v>
                </c:pt>
                <c:pt idx="4">
                  <c:v>No identificado</c:v>
                </c:pt>
                <c:pt idx="5">
                  <c:v>No presenta daños</c:v>
                </c:pt>
              </c:strCache>
            </c:strRef>
          </c:cat>
          <c:val>
            <c:numRef>
              <c:f>'ANALISIS DE DATOS'!$B$92:$B$97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1-4FF3-B192-8D5E424F16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'ANALISIS DE DATOS'!$B$100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24-4709-AF7A-DA7318A802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24-4709-AF7A-DA7318A802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DATOS'!$A$101:$A$102</c:f>
              <c:strCache>
                <c:ptCount val="2"/>
                <c:pt idx="0">
                  <c:v>N/A</c:v>
                </c:pt>
                <c:pt idx="1">
                  <c:v>No se ha inundado</c:v>
                </c:pt>
              </c:strCache>
            </c:strRef>
          </c:cat>
          <c:val>
            <c:numRef>
              <c:f>'ANALISIS DE DATOS'!$B$101:$B$102</c:f>
              <c:numCache>
                <c:formatCode>General</c:formatCode>
                <c:ptCount val="2"/>
                <c:pt idx="0">
                  <c:v>1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6-46D0-9C86-03C8AB5C0A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SISTEMA</a:t>
            </a:r>
            <a:r>
              <a:rPr lang="es-CO" baseline="0"/>
              <a:t> DE RECOLECCION DE AGUAS SERVIDAS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'ANALISIS DE DATOS'!$B$105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0-42D9-9D48-0387110FED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40-42D9-9D48-0387110FED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40-42D9-9D48-0387110FED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DATOS'!$A$106:$A$108</c:f>
              <c:strCache>
                <c:ptCount val="3"/>
                <c:pt idx="0">
                  <c:v>Conexiones de aguas servidas mpio</c:v>
                </c:pt>
                <c:pt idx="1">
                  <c:v>Conexiones improvisadas</c:v>
                </c:pt>
                <c:pt idx="2">
                  <c:v>N/A</c:v>
                </c:pt>
              </c:strCache>
            </c:strRef>
          </c:cat>
          <c:val>
            <c:numRef>
              <c:f>'ANALISIS DE DATOS'!$B$106:$B$108</c:f>
              <c:numCache>
                <c:formatCode>General</c:formatCode>
                <c:ptCount val="3"/>
                <c:pt idx="0">
                  <c:v>27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9-4638-B9EB-0EE66987BC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CATEGORIA</a:t>
            </a:r>
            <a:r>
              <a:rPr lang="es-CO" baseline="0"/>
              <a:t> DE FRAGILIDAD ESTRUCTURAL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3A-498F-9D71-2A0F23C28047}"/>
              </c:ext>
            </c:extLst>
          </c:dPt>
          <c:dPt>
            <c:idx val="1"/>
            <c:bubble3D val="0"/>
            <c:spPr>
              <a:solidFill>
                <a:srgbClr val="E1A01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3A-498F-9D71-2A0F23C2804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3A-498F-9D71-2A0F23C2804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3A-498F-9D71-2A0F23C280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DATOS'!$T$3:$T$6</c:f>
              <c:strCache>
                <c:ptCount val="4"/>
                <c:pt idx="0">
                  <c:v>Muy Alta</c:v>
                </c:pt>
                <c:pt idx="1">
                  <c:v>Alta </c:v>
                </c:pt>
                <c:pt idx="2">
                  <c:v>Media</c:v>
                </c:pt>
                <c:pt idx="3">
                  <c:v>Media Alta</c:v>
                </c:pt>
              </c:strCache>
            </c:strRef>
          </c:cat>
          <c:val>
            <c:numRef>
              <c:f>'ANALISIS DE DATOS'!$U$3:$U$6</c:f>
              <c:numCache>
                <c:formatCode>General</c:formatCode>
                <c:ptCount val="4"/>
                <c:pt idx="0">
                  <c:v>10</c:v>
                </c:pt>
                <c:pt idx="1">
                  <c:v>17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3-4D83-8DC8-B601E82D4A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UBICACION</a:t>
            </a:r>
            <a:r>
              <a:rPr lang="en-US" baseline="0"/>
              <a:t> EN LA MANZANA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'ANALISIS DE DATOS'!$B$111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1-42D7-BEEB-1986D7D8DC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61-42D7-BEEB-1986D7D8DC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61-42D7-BEEB-1986D7D8DC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DE DATOS'!$A$112:$A$114</c:f>
              <c:strCache>
                <c:ptCount val="3"/>
                <c:pt idx="0">
                  <c:v>Medianera </c:v>
                </c:pt>
                <c:pt idx="1">
                  <c:v>Esquinera</c:v>
                </c:pt>
                <c:pt idx="2">
                  <c:v>no esta contruida</c:v>
                </c:pt>
              </c:strCache>
            </c:strRef>
          </c:cat>
          <c:val>
            <c:numRef>
              <c:f>'ANALISIS DE DATOS'!$B$112:$B$114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802-B519-0E75CB4419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'ANALISIS DE DATOS'!$A$118</c:f>
              <c:strCache>
                <c:ptCount val="1"/>
                <c:pt idx="0">
                  <c:v>NUMERO DE PISOS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5A-4F7C-B7B1-D4083ADF2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5A-4F7C-B7B1-D4083ADF2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5A-4F7C-B7B1-D4083ADF2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5A-4F7C-B7B1-D4083ADF2E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'ANALISIS DE DATOS'!$A$119:$A$122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A-41BD-AAA9-7BA89E51F0A4}"/>
            </c:ext>
          </c:extLst>
        </c:ser>
        <c:ser>
          <c:idx val="1"/>
          <c:order val="1"/>
          <c:tx>
            <c:strRef>
              <c:f>'ANALISIS DE DATOS'!$B$118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5A-4F7C-B7B1-D4083ADF2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5A-4F7C-B7B1-D4083ADF2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5A-4F7C-B7B1-D4083ADF2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5A-4F7C-B7B1-D4083ADF2E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'ANALISIS DE DATOS'!$B$119:$B$122</c:f>
              <c:numCache>
                <c:formatCode>General</c:formatCode>
                <c:ptCount val="4"/>
                <c:pt idx="0">
                  <c:v>22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A-41BD-AAA9-7BA89E51F0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MODELO DE FRAGILIDAD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FRAGILIDAD!$K$2:$K$37</c:f>
              <c:numCache>
                <c:formatCode>0.000</c:formatCode>
                <c:ptCount val="36"/>
                <c:pt idx="0">
                  <c:v>0.89312499999999995</c:v>
                </c:pt>
                <c:pt idx="1">
                  <c:v>0.85749999999999993</c:v>
                </c:pt>
                <c:pt idx="2">
                  <c:v>0.89312499999999995</c:v>
                </c:pt>
                <c:pt idx="3">
                  <c:v>0.89312499999999995</c:v>
                </c:pt>
                <c:pt idx="4">
                  <c:v>0.89312499999999995</c:v>
                </c:pt>
                <c:pt idx="5">
                  <c:v>0.92874999999999996</c:v>
                </c:pt>
                <c:pt idx="6">
                  <c:v>0.97</c:v>
                </c:pt>
                <c:pt idx="7">
                  <c:v>0.89312499999999995</c:v>
                </c:pt>
                <c:pt idx="8">
                  <c:v>0.80400000000000005</c:v>
                </c:pt>
                <c:pt idx="9">
                  <c:v>0.92874999999999996</c:v>
                </c:pt>
                <c:pt idx="10">
                  <c:v>0.85037499999999999</c:v>
                </c:pt>
                <c:pt idx="11">
                  <c:v>0.85037499999999999</c:v>
                </c:pt>
                <c:pt idx="12">
                  <c:v>0.66749999999999998</c:v>
                </c:pt>
                <c:pt idx="13">
                  <c:v>0.66749999999999998</c:v>
                </c:pt>
                <c:pt idx="14">
                  <c:v>0.66749999999999998</c:v>
                </c:pt>
                <c:pt idx="15">
                  <c:v>0.9</c:v>
                </c:pt>
                <c:pt idx="16">
                  <c:v>0.76249999999999996</c:v>
                </c:pt>
                <c:pt idx="17">
                  <c:v>0.76249999999999996</c:v>
                </c:pt>
                <c:pt idx="18">
                  <c:v>0.76249999999999996</c:v>
                </c:pt>
                <c:pt idx="19">
                  <c:v>0.94</c:v>
                </c:pt>
                <c:pt idx="20">
                  <c:v>0.92500000000000004</c:v>
                </c:pt>
                <c:pt idx="21">
                  <c:v>0.89500000000000002</c:v>
                </c:pt>
                <c:pt idx="22">
                  <c:v>0.95499999999999996</c:v>
                </c:pt>
                <c:pt idx="23">
                  <c:v>0.76249999999999996</c:v>
                </c:pt>
                <c:pt idx="24">
                  <c:v>0.76249999999999996</c:v>
                </c:pt>
                <c:pt idx="25">
                  <c:v>0.9</c:v>
                </c:pt>
                <c:pt idx="26">
                  <c:v>0.82187500000000002</c:v>
                </c:pt>
                <c:pt idx="27">
                  <c:v>0.67937500000000006</c:v>
                </c:pt>
                <c:pt idx="28">
                  <c:v>0.89500000000000002</c:v>
                </c:pt>
                <c:pt idx="29">
                  <c:v>0.89500000000000002</c:v>
                </c:pt>
                <c:pt idx="30">
                  <c:v>0.85299999999999998</c:v>
                </c:pt>
                <c:pt idx="31">
                  <c:v>0.89312499999999995</c:v>
                </c:pt>
                <c:pt idx="32">
                  <c:v>0.98124999999999996</c:v>
                </c:pt>
                <c:pt idx="33">
                  <c:v>0.89312499999999995</c:v>
                </c:pt>
                <c:pt idx="34">
                  <c:v>0.95499999999999996</c:v>
                </c:pt>
                <c:pt idx="35">
                  <c:v>0.89312499999999995</c:v>
                </c:pt>
              </c:numCache>
            </c:numRef>
          </c:xVal>
          <c:yVal>
            <c:numRef>
              <c:f>FRAGILIDAD!$L$2:$L$37</c:f>
              <c:numCache>
                <c:formatCode>0.000</c:formatCode>
                <c:ptCount val="36"/>
                <c:pt idx="0">
                  <c:v>0.69649689975213103</c:v>
                </c:pt>
                <c:pt idx="1">
                  <c:v>0.61143347488958655</c:v>
                </c:pt>
                <c:pt idx="2">
                  <c:v>0.69649689975213147</c:v>
                </c:pt>
                <c:pt idx="3">
                  <c:v>0.69649689975213147</c:v>
                </c:pt>
                <c:pt idx="4">
                  <c:v>0.69649689975213147</c:v>
                </c:pt>
                <c:pt idx="5">
                  <c:v>0.7893620547009822</c:v>
                </c:pt>
                <c:pt idx="6">
                  <c:v>0.90713004130020858</c:v>
                </c:pt>
                <c:pt idx="7">
                  <c:v>0.69649689975213147</c:v>
                </c:pt>
                <c:pt idx="8">
                  <c:v>0.49753009518937347</c:v>
                </c:pt>
                <c:pt idx="9">
                  <c:v>0.7893620547009822</c:v>
                </c:pt>
                <c:pt idx="10">
                  <c:v>0.59532421599202678</c:v>
                </c:pt>
                <c:pt idx="11">
                  <c:v>0.59532421599202678</c:v>
                </c:pt>
                <c:pt idx="12">
                  <c:v>0.27431153103914752</c:v>
                </c:pt>
                <c:pt idx="13">
                  <c:v>0.27431153103914752</c:v>
                </c:pt>
                <c:pt idx="14">
                  <c:v>0.27431153103914752</c:v>
                </c:pt>
                <c:pt idx="15">
                  <c:v>0.71379915616115208</c:v>
                </c:pt>
                <c:pt idx="16">
                  <c:v>0.41992092232853029</c:v>
                </c:pt>
                <c:pt idx="17">
                  <c:v>0.41992092232853029</c:v>
                </c:pt>
                <c:pt idx="18">
                  <c:v>0.41992092232853029</c:v>
                </c:pt>
                <c:pt idx="19">
                  <c:v>0.82036879330444146</c:v>
                </c:pt>
                <c:pt idx="20">
                  <c:v>0.77920825485013756</c:v>
                </c:pt>
                <c:pt idx="21">
                  <c:v>0.70118676965305315</c:v>
                </c:pt>
                <c:pt idx="22">
                  <c:v>0.8629999867911009</c:v>
                </c:pt>
                <c:pt idx="23">
                  <c:v>0.41992092232853029</c:v>
                </c:pt>
                <c:pt idx="24">
                  <c:v>0.41992092232853029</c:v>
                </c:pt>
                <c:pt idx="25">
                  <c:v>0.71379915616115208</c:v>
                </c:pt>
                <c:pt idx="26">
                  <c:v>0.53379987105554849</c:v>
                </c:pt>
                <c:pt idx="27">
                  <c:v>0.29023554325797374</c:v>
                </c:pt>
                <c:pt idx="28">
                  <c:v>0.70118676965305315</c:v>
                </c:pt>
                <c:pt idx="29">
                  <c:v>0.70118676965305315</c:v>
                </c:pt>
                <c:pt idx="30">
                  <c:v>0.60122481824896112</c:v>
                </c:pt>
                <c:pt idx="31">
                  <c:v>0.69649689975213147</c:v>
                </c:pt>
                <c:pt idx="32">
                  <c:v>0.94122822747742318</c:v>
                </c:pt>
                <c:pt idx="33">
                  <c:v>0.69649689975213147</c:v>
                </c:pt>
                <c:pt idx="34">
                  <c:v>0.8629999867911009</c:v>
                </c:pt>
                <c:pt idx="35">
                  <c:v>0.69649689975213147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7-417D-A87A-915EFDB4FF52}"/>
            </c:ext>
          </c:extLst>
        </c:ser>
        <c:ser>
          <c:idx val="1"/>
          <c:order val="1"/>
          <c:tx>
            <c:v>Modelo teorico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FRAGILIDAD!$P$2:$P$37</c:f>
              <c:numCache>
                <c:formatCode>0.000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0.22857142857142859</c:v>
                </c:pt>
                <c:pt idx="9">
                  <c:v>0.25714285714285717</c:v>
                </c:pt>
                <c:pt idx="10">
                  <c:v>0.28571428571428575</c:v>
                </c:pt>
                <c:pt idx="11">
                  <c:v>0.31428571428571433</c:v>
                </c:pt>
                <c:pt idx="12">
                  <c:v>0.34285714285714292</c:v>
                </c:pt>
                <c:pt idx="13">
                  <c:v>0.3714285714285715</c:v>
                </c:pt>
                <c:pt idx="14">
                  <c:v>0.40000000000000008</c:v>
                </c:pt>
                <c:pt idx="15">
                  <c:v>0.42857142857142866</c:v>
                </c:pt>
                <c:pt idx="16">
                  <c:v>0.45714285714285724</c:v>
                </c:pt>
                <c:pt idx="17">
                  <c:v>0.48571428571428582</c:v>
                </c:pt>
                <c:pt idx="18">
                  <c:v>0.51428571428571435</c:v>
                </c:pt>
                <c:pt idx="19">
                  <c:v>0.54285714285714293</c:v>
                </c:pt>
                <c:pt idx="20">
                  <c:v>0.57142857142857151</c:v>
                </c:pt>
                <c:pt idx="21">
                  <c:v>0.60000000000000009</c:v>
                </c:pt>
                <c:pt idx="22">
                  <c:v>0.62857142857142867</c:v>
                </c:pt>
                <c:pt idx="23">
                  <c:v>0.65714285714285725</c:v>
                </c:pt>
                <c:pt idx="24">
                  <c:v>0.68571428571428583</c:v>
                </c:pt>
                <c:pt idx="25">
                  <c:v>0.71428571428571441</c:v>
                </c:pt>
                <c:pt idx="26">
                  <c:v>0.74285714285714299</c:v>
                </c:pt>
                <c:pt idx="27">
                  <c:v>0.77142857142857157</c:v>
                </c:pt>
                <c:pt idx="28">
                  <c:v>0.80000000000000016</c:v>
                </c:pt>
                <c:pt idx="29">
                  <c:v>0.82857142857142874</c:v>
                </c:pt>
                <c:pt idx="30">
                  <c:v>0.85714285714285732</c:v>
                </c:pt>
                <c:pt idx="31">
                  <c:v>0.8857142857142859</c:v>
                </c:pt>
                <c:pt idx="32">
                  <c:v>0.91428571428571448</c:v>
                </c:pt>
                <c:pt idx="33">
                  <c:v>0.94285714285714306</c:v>
                </c:pt>
                <c:pt idx="34">
                  <c:v>0.97142857142857164</c:v>
                </c:pt>
                <c:pt idx="35">
                  <c:v>1.0000000000000002</c:v>
                </c:pt>
              </c:numCache>
            </c:numRef>
          </c:xVal>
          <c:yVal>
            <c:numRef>
              <c:f>FRAGILIDAD!$Q$2:$Q$37</c:f>
              <c:numCache>
                <c:formatCode>0.000</c:formatCode>
                <c:ptCount val="36"/>
                <c:pt idx="0">
                  <c:v>0</c:v>
                </c:pt>
                <c:pt idx="1">
                  <c:v>1.1454661455830583E-5</c:v>
                </c:pt>
                <c:pt idx="2">
                  <c:v>1.0526360617088429E-4</c:v>
                </c:pt>
                <c:pt idx="3">
                  <c:v>3.8527450681543626E-4</c:v>
                </c:pt>
                <c:pt idx="4">
                  <c:v>9.6732904999640443E-4</c:v>
                </c:pt>
                <c:pt idx="5">
                  <c:v>1.9755420215757449E-3</c:v>
                </c:pt>
                <c:pt idx="6">
                  <c:v>3.5405135376094824E-3</c:v>
                </c:pt>
                <c:pt idx="7">
                  <c:v>5.7982373094215625E-3</c:v>
                </c:pt>
                <c:pt idx="8">
                  <c:v>8.8893543077737183E-3</c:v>
                </c:pt>
                <c:pt idx="9">
                  <c:v>1.2958606081397666E-2</c:v>
                </c:pt>
                <c:pt idx="10">
                  <c:v>1.8154414963292623E-2</c:v>
                </c:pt>
                <c:pt idx="11">
                  <c:v>2.4628550395694695E-2</c:v>
                </c:pt>
                <c:pt idx="12">
                  <c:v>3.2535856611974001E-2</c:v>
                </c:pt>
                <c:pt idx="13">
                  <c:v>4.2034025703282296E-2</c:v>
                </c:pt>
                <c:pt idx="14">
                  <c:v>5.3283405273719907E-2</c:v>
                </c:pt>
                <c:pt idx="15">
                  <c:v>6.6446833107262335E-2</c:v>
                </c:pt>
                <c:pt idx="16">
                  <c:v>8.1689493362603838E-2</c:v>
                </c:pt>
                <c:pt idx="17">
                  <c:v>9.9178790223119484E-2</c:v>
                </c:pt>
                <c:pt idx="18">
                  <c:v>0.11908423591004856</c:v>
                </c:pt>
                <c:pt idx="19">
                  <c:v>0.14157735066692953</c:v>
                </c:pt>
                <c:pt idx="20">
                  <c:v>0.16683157283414232</c:v>
                </c:pt>
                <c:pt idx="21">
                  <c:v>0.19502217751264589</c:v>
                </c:pt>
                <c:pt idx="22">
                  <c:v>0.22632620260396866</c:v>
                </c:pt>
                <c:pt idx="23">
                  <c:v>0.26092238123498968</c:v>
                </c:pt>
                <c:pt idx="24">
                  <c:v>0.29899107974875161</c:v>
                </c:pt>
                <c:pt idx="25">
                  <c:v>0.34071424057888877</c:v>
                </c:pt>
                <c:pt idx="26">
                  <c:v>0.38627532943410775</c:v>
                </c:pt>
                <c:pt idx="27">
                  <c:v>0.43585928630694559</c:v>
                </c:pt>
                <c:pt idx="28">
                  <c:v>0.48965247989249922</c:v>
                </c:pt>
                <c:pt idx="29">
                  <c:v>0.54784266506149248</c:v>
                </c:pt>
                <c:pt idx="30">
                  <c:v>0.61061894308059828</c:v>
                </c:pt>
                <c:pt idx="31">
                  <c:v>0.67817172431339812</c:v>
                </c:pt>
                <c:pt idx="32">
                  <c:v>0.7506926931693142</c:v>
                </c:pt>
                <c:pt idx="33">
                  <c:v>0.82837477509651603</c:v>
                </c:pt>
                <c:pt idx="34">
                  <c:v>0.91141210543914697</c:v>
                </c:pt>
                <c:pt idx="35">
                  <c:v>1.0000000000000007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7-417D-A87A-915EFDB4F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01848"/>
        <c:axId val="1058801488"/>
      </c:scatterChart>
      <c:valAx>
        <c:axId val="10588018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801488"/>
        <c:crosses val="autoZero"/>
        <c:crossBetween val="midCat"/>
      </c:valAx>
      <c:valAx>
        <c:axId val="10588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8801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VULNERABILIDAD</a:t>
            </a:r>
            <a:r>
              <a:rPr lang="es-CO" baseline="0"/>
              <a:t> FISICA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F5-4868-82AB-6A69C2C54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F5-4868-82AB-6A69C2C54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F5-4868-82AB-6A69C2C541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F5-4868-82AB-6A69C2C541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VULNERABILIDAD!$L$1:$L$4</c:f>
              <c:strCache>
                <c:ptCount val="4"/>
                <c:pt idx="0">
                  <c:v>Vulnerabilidad fisica</c:v>
                </c:pt>
                <c:pt idx="1">
                  <c:v>Alta </c:v>
                </c:pt>
                <c:pt idx="2">
                  <c:v>Media </c:v>
                </c:pt>
                <c:pt idx="3">
                  <c:v>Baja</c:v>
                </c:pt>
              </c:strCache>
            </c:strRef>
          </c:cat>
          <c:val>
            <c:numRef>
              <c:f>VULNERABILIDAD!$M$1:$M$4</c:f>
              <c:numCache>
                <c:formatCode>General</c:formatCode>
                <c:ptCount val="4"/>
                <c:pt idx="1">
                  <c:v>26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8-4765-BDE7-D971885EA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Vulnerabilidad</a:t>
            </a:r>
            <a:r>
              <a:rPr lang="es-CO" baseline="0"/>
              <a:t> Personas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F-46E8-81D2-E9CCDF72F4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F-46E8-81D2-E9CCDF72F4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3F-46E8-81D2-E9CCDF72F4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3F-46E8-81D2-E9CCDF72F4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VULNERABILIDAD!$L$5:$L$8</c:f>
              <c:strCache>
                <c:ptCount val="4"/>
                <c:pt idx="0">
                  <c:v>Vulnerabilidad personas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VULNERABILIDAD!$M$5:$M$8</c:f>
              <c:numCache>
                <c:formatCode>General</c:formatCode>
                <c:ptCount val="4"/>
                <c:pt idx="1">
                  <c:v>5</c:v>
                </c:pt>
                <c:pt idx="2">
                  <c:v>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5-45EC-971D-6916BE1EB3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PERDIDA ACUMULADA EN UN PERIODO DE 10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'CALCULO RIESGO PERDIDA'!$O$2</c:f>
              <c:strCache>
                <c:ptCount val="1"/>
                <c:pt idx="0">
                  <c:v>PERDIDA ACUMULADA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'CALCULO RIESGO PERDIDA'!$M$3:$M$12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'CALCULO RIESGO PERDIDA'!$O$3:$O$12</c:f>
              <c:numCache>
                <c:formatCode>_("$"* #,##0.00_);_("$"* \(#,##0.00\);_("$"* "-"??_);_(@_)</c:formatCode>
                <c:ptCount val="10"/>
                <c:pt idx="0">
                  <c:v>3874695.3333330699</c:v>
                </c:pt>
                <c:pt idx="1">
                  <c:v>7747181.0140216015</c:v>
                </c:pt>
                <c:pt idx="2">
                  <c:v>11617458.302182043</c:v>
                </c:pt>
                <c:pt idx="3">
                  <c:v>15485528.457210457</c:v>
                </c:pt>
                <c:pt idx="4">
                  <c:v>19351392.737787049</c:v>
                </c:pt>
                <c:pt idx="5">
                  <c:v>23215052.401872393</c:v>
                </c:pt>
                <c:pt idx="6">
                  <c:v>27076508.706711207</c:v>
                </c:pt>
                <c:pt idx="7">
                  <c:v>30935762.908828568</c:v>
                </c:pt>
                <c:pt idx="8">
                  <c:v>34792816.26403597</c:v>
                </c:pt>
                <c:pt idx="9">
                  <c:v>38647670.027427532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4-4E89-8D3C-5BA8C158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625008"/>
        <c:axId val="1121622488"/>
      </c:scatterChart>
      <c:valAx>
        <c:axId val="112162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1622488"/>
        <c:crosses val="autoZero"/>
        <c:crossBetween val="midCat"/>
      </c:valAx>
      <c:valAx>
        <c:axId val="112162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PERDIDA</a:t>
                </a:r>
                <a:r>
                  <a:rPr lang="es-CO" baseline="0"/>
                  <a:t> ACUMULADA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162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0</xdr:row>
      <xdr:rowOff>66674</xdr:rowOff>
    </xdr:from>
    <xdr:to>
      <xdr:col>8</xdr:col>
      <xdr:colOff>676274</xdr:colOff>
      <xdr:row>9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CAE188-F080-18DD-8CD6-523FA39E3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123824</xdr:colOff>
      <xdr:row>10</xdr:row>
      <xdr:rowOff>19050</xdr:rowOff>
    </xdr:from>
    <xdr:to>
      <xdr:col>10</xdr:col>
      <xdr:colOff>647699</xdr:colOff>
      <xdr:row>18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347D25-0B86-17A2-12CE-6A5C92A2A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19</xdr:row>
      <xdr:rowOff>0</xdr:rowOff>
    </xdr:from>
    <xdr:to>
      <xdr:col>8</xdr:col>
      <xdr:colOff>342900</xdr:colOff>
      <xdr:row>25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9A2DEE-C309-32B0-D108-F991C783E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171450</xdr:colOff>
      <xdr:row>21</xdr:row>
      <xdr:rowOff>109537</xdr:rowOff>
    </xdr:from>
    <xdr:to>
      <xdr:col>15</xdr:col>
      <xdr:colOff>171450</xdr:colOff>
      <xdr:row>35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2A5494-E122-A7E4-0146-A3394D32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238124</xdr:colOff>
      <xdr:row>25</xdr:row>
      <xdr:rowOff>123824</xdr:rowOff>
    </xdr:from>
    <xdr:to>
      <xdr:col>9</xdr:col>
      <xdr:colOff>9525</xdr:colOff>
      <xdr:row>34</xdr:row>
      <xdr:rowOff>180974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A376CCB-6A9F-7CD7-223D-BED905E73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285750</xdr:colOff>
      <xdr:row>39</xdr:row>
      <xdr:rowOff>142875</xdr:rowOff>
    </xdr:from>
    <xdr:to>
      <xdr:col>9</xdr:col>
      <xdr:colOff>104775</xdr:colOff>
      <xdr:row>52</xdr:row>
      <xdr:rowOff>23812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2E887B1-DAA9-FE8C-97FD-7E53CD096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200024</xdr:colOff>
      <xdr:row>35</xdr:row>
      <xdr:rowOff>147637</xdr:rowOff>
    </xdr:from>
    <xdr:to>
      <xdr:col>15</xdr:col>
      <xdr:colOff>304799</xdr:colOff>
      <xdr:row>47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B0C8D28-426F-7BFD-60A7-C580C608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419100</xdr:colOff>
      <xdr:row>53</xdr:row>
      <xdr:rowOff>61911</xdr:rowOff>
    </xdr:from>
    <xdr:to>
      <xdr:col>8</xdr:col>
      <xdr:colOff>542925</xdr:colOff>
      <xdr:row>62</xdr:row>
      <xdr:rowOff>85724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88A2A3-B3DF-5D1C-B082-5CA515DCD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647700</xdr:colOff>
      <xdr:row>53</xdr:row>
      <xdr:rowOff>28575</xdr:rowOff>
    </xdr:from>
    <xdr:to>
      <xdr:col>13</xdr:col>
      <xdr:colOff>342900</xdr:colOff>
      <xdr:row>62</xdr:row>
      <xdr:rowOff>80962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DE56BF8-68FB-3978-6545-915826AB3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409575</xdr:colOff>
      <xdr:row>62</xdr:row>
      <xdr:rowOff>166687</xdr:rowOff>
    </xdr:from>
    <xdr:to>
      <xdr:col>8</xdr:col>
      <xdr:colOff>542925</xdr:colOff>
      <xdr:row>72</xdr:row>
      <xdr:rowOff>123825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5C68BC4-43B8-730F-6E36-7D4D94522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647699</xdr:colOff>
      <xdr:row>62</xdr:row>
      <xdr:rowOff>147637</xdr:rowOff>
    </xdr:from>
    <xdr:to>
      <xdr:col>13</xdr:col>
      <xdr:colOff>371474</xdr:colOff>
      <xdr:row>72</xdr:row>
      <xdr:rowOff>114300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CBB96D2-672D-965C-139A-245EBF481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409574</xdr:colOff>
      <xdr:row>73</xdr:row>
      <xdr:rowOff>52387</xdr:rowOff>
    </xdr:from>
    <xdr:to>
      <xdr:col>11</xdr:col>
      <xdr:colOff>704849</xdr:colOff>
      <xdr:row>83</xdr:row>
      <xdr:rowOff>271462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31B4C9A-279D-ABDE-B900-3647525D0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9524</xdr:colOff>
      <xdr:row>73</xdr:row>
      <xdr:rowOff>4762</xdr:rowOff>
    </xdr:from>
    <xdr:to>
      <xdr:col>18</xdr:col>
      <xdr:colOff>742950</xdr:colOff>
      <xdr:row>83</xdr:row>
      <xdr:rowOff>223837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2D492B0-2E12-F49D-C65C-4DA6A9232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419100</xdr:colOff>
      <xdr:row>84</xdr:row>
      <xdr:rowOff>109537</xdr:rowOff>
    </xdr:from>
    <xdr:to>
      <xdr:col>10</xdr:col>
      <xdr:colOff>514350</xdr:colOff>
      <xdr:row>95</xdr:row>
      <xdr:rowOff>138112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50E9966-A456-F35F-F9E0-487B26906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590550</xdr:colOff>
      <xdr:row>84</xdr:row>
      <xdr:rowOff>100012</xdr:rowOff>
    </xdr:from>
    <xdr:to>
      <xdr:col>16</xdr:col>
      <xdr:colOff>371475</xdr:colOff>
      <xdr:row>95</xdr:row>
      <xdr:rowOff>114300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9514674-1800-2D1B-B4BE-48AE8B8DE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600075</xdr:colOff>
      <xdr:row>96</xdr:row>
      <xdr:rowOff>109537</xdr:rowOff>
    </xdr:from>
    <xdr:to>
      <xdr:col>9</xdr:col>
      <xdr:colOff>542925</xdr:colOff>
      <xdr:row>107</xdr:row>
      <xdr:rowOff>185737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D13A6F8-FCD5-7078-CCC4-BB37E6F62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704850</xdr:colOff>
      <xdr:row>0</xdr:row>
      <xdr:rowOff>100012</xdr:rowOff>
    </xdr:from>
    <xdr:to>
      <xdr:col>16</xdr:col>
      <xdr:colOff>704850</xdr:colOff>
      <xdr:row>11</xdr:row>
      <xdr:rowOff>366712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6336D9B-E79E-40A4-398D-C0E04EDDF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123825</xdr:colOff>
      <xdr:row>104</xdr:row>
      <xdr:rowOff>52387</xdr:rowOff>
    </xdr:from>
    <xdr:to>
      <xdr:col>16</xdr:col>
      <xdr:colOff>123825</xdr:colOff>
      <xdr:row>114</xdr:row>
      <xdr:rowOff>128587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6469179-1B97-77CA-C605-CBAD54633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400050</xdr:colOff>
      <xdr:row>109</xdr:row>
      <xdr:rowOff>119062</xdr:rowOff>
    </xdr:from>
    <xdr:to>
      <xdr:col>9</xdr:col>
      <xdr:colOff>342900</xdr:colOff>
      <xdr:row>123</xdr:row>
      <xdr:rowOff>4762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B7A547D-E817-CB2A-EE76-0E44C197B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333374</xdr:colOff>
      <xdr:row>9</xdr:row>
      <xdr:rowOff>94192</xdr:rowOff>
    </xdr:from>
    <xdr:to>
      <xdr:col>26</xdr:col>
      <xdr:colOff>10584</xdr:colOff>
      <xdr:row>23</xdr:row>
      <xdr:rowOff>170392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EC573C-2ECD-C141-D626-AACC24212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323850</xdr:colOff>
      <xdr:row>15</xdr:row>
      <xdr:rowOff>61912</xdr:rowOff>
    </xdr:from>
    <xdr:to>
      <xdr:col>20</xdr:col>
      <xdr:colOff>323850</xdr:colOff>
      <xdr:row>29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83781C-37B1-A1AA-432D-2785E73AE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261937</xdr:colOff>
      <xdr:row>0</xdr:row>
      <xdr:rowOff>14287</xdr:rowOff>
    </xdr:from>
    <xdr:to>
      <xdr:col>20</xdr:col>
      <xdr:colOff>261937</xdr:colOff>
      <xdr:row>14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ED5C65-E89D-EF7C-4743-7FEA9F76B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732233</xdr:colOff>
      <xdr:row>14</xdr:row>
      <xdr:rowOff>15478</xdr:rowOff>
    </xdr:from>
    <xdr:to>
      <xdr:col>16</xdr:col>
      <xdr:colOff>416717</xdr:colOff>
      <xdr:row>28</xdr:row>
      <xdr:rowOff>91678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1DF188-6C4E-53EF-CC8B-37FCE11A7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0D57-7699-480E-B184-AE4D29075873}">
  <dimension ref="A1:BD324"/>
  <sheetViews>
    <sheetView zoomScale="70" zoomScaleNormal="70" workbookViewId="0">
      <pane xSplit="2" ySplit="1" topLeftCell="AB2" activePane="bottomRight" state="frozen"/>
      <selection pane="topRight" activeCell="C1" sqref="C1"/>
      <selection pane="bottomLeft" activeCell="A2" sqref="A2"/>
      <selection pane="bottomRight" activeCell="AL1" sqref="AL1:AU39"/>
    </sheetView>
  </sheetViews>
  <sheetFormatPr baseColWidth="10" defaultRowHeight="15" x14ac:dyDescent="0.25"/>
  <cols>
    <col min="1" max="1" width="5.42578125" style="8" customWidth="1"/>
    <col min="2" max="2" width="18" style="8" customWidth="1"/>
    <col min="3" max="3" width="19.85546875" style="8" customWidth="1"/>
    <col min="4" max="4" width="22.5703125" style="8" customWidth="1"/>
    <col min="5" max="5" width="15.28515625" customWidth="1"/>
    <col min="6" max="6" width="12.7109375" style="13" customWidth="1"/>
    <col min="7" max="7" width="14.7109375" style="8" customWidth="1"/>
    <col min="8" max="8" width="18.85546875" style="8" customWidth="1"/>
    <col min="9" max="9" width="21.140625" customWidth="1"/>
    <col min="10" max="10" width="26" style="8" customWidth="1"/>
    <col min="11" max="11" width="19.5703125" style="8" customWidth="1"/>
    <col min="12" max="12" width="35.85546875" customWidth="1"/>
    <col min="13" max="13" width="23" style="8" customWidth="1"/>
    <col min="14" max="14" width="21.7109375" style="8" customWidth="1"/>
    <col min="15" max="15" width="15.28515625" style="8" customWidth="1"/>
    <col min="16" max="16" width="20.28515625" style="12" customWidth="1"/>
    <col min="17" max="17" width="18.5703125" customWidth="1"/>
    <col min="18" max="18" width="15.28515625" customWidth="1"/>
    <col min="19" max="19" width="14.28515625" customWidth="1"/>
    <col min="20" max="20" width="18.28515625" style="13" customWidth="1"/>
    <col min="21" max="21" width="15.140625" style="13" customWidth="1"/>
    <col min="22" max="22" width="18" style="13" customWidth="1"/>
    <col min="23" max="23" width="11.42578125" style="38"/>
    <col min="24" max="26" width="24.7109375" style="13" customWidth="1"/>
    <col min="27" max="27" width="25.28515625" style="13" customWidth="1"/>
    <col min="28" max="28" width="20" style="13" customWidth="1"/>
    <col min="29" max="29" width="23.28515625" style="12" customWidth="1"/>
    <col min="34" max="34" width="10.85546875" customWidth="1"/>
    <col min="36" max="36" width="14.5703125" style="8" customWidth="1"/>
    <col min="37" max="37" width="11.42578125" style="7"/>
    <col min="44" max="44" width="11.42578125" style="8"/>
    <col min="50" max="50" width="14.42578125" style="12" customWidth="1"/>
    <col min="51" max="51" width="11.42578125" style="8"/>
    <col min="52" max="52" width="17" style="8" customWidth="1"/>
    <col min="54" max="54" width="11.42578125" style="13"/>
  </cols>
  <sheetData>
    <row r="1" spans="1:56" ht="42" customHeight="1" x14ac:dyDescent="0.25">
      <c r="A1" s="135" t="s">
        <v>3</v>
      </c>
      <c r="B1" s="137" t="s">
        <v>4</v>
      </c>
      <c r="C1" s="137" t="s">
        <v>5</v>
      </c>
      <c r="D1" s="138"/>
      <c r="E1" s="153" t="s">
        <v>8</v>
      </c>
      <c r="F1" s="137"/>
      <c r="G1" s="137"/>
      <c r="H1" s="137"/>
      <c r="I1" s="137"/>
      <c r="J1" s="137"/>
      <c r="K1" s="154"/>
      <c r="L1" s="157" t="s">
        <v>14</v>
      </c>
      <c r="M1" s="157"/>
      <c r="N1" s="157"/>
      <c r="O1" s="157"/>
      <c r="P1" s="157"/>
      <c r="Q1" s="157"/>
      <c r="R1" s="157"/>
      <c r="S1" s="157"/>
      <c r="T1" s="157"/>
      <c r="U1" s="135" t="s">
        <v>22</v>
      </c>
      <c r="V1" s="159"/>
      <c r="W1" s="137"/>
      <c r="X1" s="159"/>
      <c r="Y1" s="159"/>
      <c r="Z1" s="159"/>
      <c r="AA1" s="159"/>
      <c r="AB1" s="160"/>
      <c r="AC1" s="27" t="s">
        <v>28</v>
      </c>
      <c r="AD1" s="162" t="s">
        <v>311</v>
      </c>
      <c r="AE1" s="157"/>
      <c r="AF1" s="157"/>
      <c r="AG1" s="157"/>
      <c r="AH1" s="157"/>
      <c r="AI1" s="157"/>
      <c r="AJ1" s="157"/>
      <c r="AK1" s="108" t="s">
        <v>312</v>
      </c>
      <c r="AL1" s="143" t="s">
        <v>323</v>
      </c>
      <c r="AM1" s="144"/>
      <c r="AN1" s="144"/>
      <c r="AO1" s="144"/>
      <c r="AP1" s="163" t="s">
        <v>328</v>
      </c>
      <c r="AQ1" s="150" t="s">
        <v>333</v>
      </c>
      <c r="AR1" s="150"/>
      <c r="AS1" s="150"/>
      <c r="AT1" s="140" t="s">
        <v>331</v>
      </c>
      <c r="AU1" s="146"/>
      <c r="AV1" s="143" t="s">
        <v>346</v>
      </c>
      <c r="AW1" s="144"/>
      <c r="AX1" s="144"/>
      <c r="AY1" s="144"/>
      <c r="AZ1" s="144"/>
      <c r="BA1" s="144"/>
      <c r="BB1" s="144"/>
      <c r="BC1" s="144"/>
      <c r="BD1" s="145"/>
    </row>
    <row r="2" spans="1:56" s="5" customFormat="1" ht="48.75" customHeight="1" x14ac:dyDescent="0.25">
      <c r="A2" s="136"/>
      <c r="B2" s="134"/>
      <c r="C2" s="133" t="s">
        <v>6</v>
      </c>
      <c r="D2" s="139" t="s">
        <v>7</v>
      </c>
      <c r="E2" s="156" t="s">
        <v>9</v>
      </c>
      <c r="F2" s="134" t="s">
        <v>10</v>
      </c>
      <c r="G2" s="134" t="s">
        <v>116</v>
      </c>
      <c r="H2" s="134" t="s">
        <v>11</v>
      </c>
      <c r="I2" s="134" t="s">
        <v>12</v>
      </c>
      <c r="J2" s="134" t="s">
        <v>13</v>
      </c>
      <c r="K2" s="152" t="s">
        <v>120</v>
      </c>
      <c r="L2" s="161" t="s">
        <v>15</v>
      </c>
      <c r="M2" s="134" t="s">
        <v>16</v>
      </c>
      <c r="N2" s="134" t="s">
        <v>17</v>
      </c>
      <c r="O2" s="134" t="s">
        <v>18</v>
      </c>
      <c r="P2" s="134" t="s">
        <v>19</v>
      </c>
      <c r="Q2" s="134" t="s">
        <v>20</v>
      </c>
      <c r="R2" s="134" t="s">
        <v>21</v>
      </c>
      <c r="S2" s="134" t="s">
        <v>177</v>
      </c>
      <c r="T2" s="155" t="s">
        <v>127</v>
      </c>
      <c r="U2" s="156" t="s">
        <v>23</v>
      </c>
      <c r="V2" s="134" t="s">
        <v>24</v>
      </c>
      <c r="W2" s="134" t="s">
        <v>25</v>
      </c>
      <c r="X2" s="134" t="s">
        <v>26</v>
      </c>
      <c r="Y2" s="134"/>
      <c r="Z2" s="134"/>
      <c r="AA2" s="134" t="s">
        <v>27</v>
      </c>
      <c r="AB2" s="152" t="s">
        <v>180</v>
      </c>
      <c r="AC2" s="158" t="s">
        <v>29</v>
      </c>
      <c r="AD2" s="156" t="s">
        <v>298</v>
      </c>
      <c r="AE2" s="134" t="s">
        <v>299</v>
      </c>
      <c r="AF2" s="134" t="s">
        <v>300</v>
      </c>
      <c r="AG2" s="134" t="s">
        <v>301</v>
      </c>
      <c r="AH2" s="134" t="s">
        <v>302</v>
      </c>
      <c r="AI2" s="134" t="s">
        <v>303</v>
      </c>
      <c r="AJ2" s="155" t="s">
        <v>304</v>
      </c>
      <c r="AK2" s="152" t="s">
        <v>313</v>
      </c>
      <c r="AL2" s="147" t="s">
        <v>324</v>
      </c>
      <c r="AM2" s="148" t="s">
        <v>325</v>
      </c>
      <c r="AN2" s="148" t="s">
        <v>326</v>
      </c>
      <c r="AO2" s="148" t="s">
        <v>327</v>
      </c>
      <c r="AP2" s="164"/>
      <c r="AQ2" s="151" t="s">
        <v>279</v>
      </c>
      <c r="AR2" s="148" t="s">
        <v>329</v>
      </c>
      <c r="AS2" s="149" t="s">
        <v>313</v>
      </c>
      <c r="AT2" s="148" t="s">
        <v>280</v>
      </c>
      <c r="AU2" s="146" t="s">
        <v>332</v>
      </c>
      <c r="AV2" s="147" t="s">
        <v>337</v>
      </c>
      <c r="AW2" s="148" t="s">
        <v>338</v>
      </c>
      <c r="AX2" s="140" t="s">
        <v>340</v>
      </c>
      <c r="AY2" s="140" t="s">
        <v>332</v>
      </c>
      <c r="AZ2" s="148" t="s">
        <v>339</v>
      </c>
      <c r="BA2" s="140" t="s">
        <v>341</v>
      </c>
      <c r="BB2" s="140" t="s">
        <v>332</v>
      </c>
      <c r="BC2" s="140" t="s">
        <v>344</v>
      </c>
      <c r="BD2" s="142" t="s">
        <v>332</v>
      </c>
    </row>
    <row r="3" spans="1:56" s="5" customFormat="1" ht="48.75" customHeight="1" x14ac:dyDescent="0.25">
      <c r="A3" s="136"/>
      <c r="B3" s="134"/>
      <c r="C3" s="133"/>
      <c r="D3" s="139"/>
      <c r="E3" s="156"/>
      <c r="F3" s="134"/>
      <c r="G3" s="134"/>
      <c r="H3" s="134"/>
      <c r="I3" s="134"/>
      <c r="J3" s="134"/>
      <c r="K3" s="152"/>
      <c r="L3" s="161"/>
      <c r="M3" s="134"/>
      <c r="N3" s="134"/>
      <c r="O3" s="134"/>
      <c r="P3" s="134"/>
      <c r="Q3" s="134"/>
      <c r="R3" s="134"/>
      <c r="S3" s="134"/>
      <c r="T3" s="155"/>
      <c r="U3" s="156"/>
      <c r="V3" s="134"/>
      <c r="W3" s="134"/>
      <c r="X3" s="14" t="s">
        <v>131</v>
      </c>
      <c r="Y3" s="14" t="s">
        <v>132</v>
      </c>
      <c r="Z3" s="14" t="s">
        <v>133</v>
      </c>
      <c r="AA3" s="134"/>
      <c r="AB3" s="152"/>
      <c r="AC3" s="158"/>
      <c r="AD3" s="156"/>
      <c r="AE3" s="134"/>
      <c r="AF3" s="134"/>
      <c r="AG3" s="134"/>
      <c r="AH3" s="134"/>
      <c r="AI3" s="134"/>
      <c r="AJ3" s="155"/>
      <c r="AK3" s="152"/>
      <c r="AL3" s="147"/>
      <c r="AM3" s="148"/>
      <c r="AN3" s="148"/>
      <c r="AO3" s="148"/>
      <c r="AP3" s="165"/>
      <c r="AQ3" s="151"/>
      <c r="AR3" s="148"/>
      <c r="AS3" s="149"/>
      <c r="AT3" s="148"/>
      <c r="AU3" s="146"/>
      <c r="AV3" s="147"/>
      <c r="AW3" s="148"/>
      <c r="AX3" s="140"/>
      <c r="AY3" s="140"/>
      <c r="AZ3" s="148"/>
      <c r="BA3" s="140"/>
      <c r="BB3" s="140"/>
      <c r="BC3" s="141"/>
      <c r="BD3" s="142"/>
    </row>
    <row r="4" spans="1:56" s="5" customFormat="1" ht="30" x14ac:dyDescent="0.25">
      <c r="A4" s="19">
        <v>1</v>
      </c>
      <c r="B4" s="9" t="s">
        <v>30</v>
      </c>
      <c r="C4" s="9" t="s">
        <v>57</v>
      </c>
      <c r="D4" s="15" t="s">
        <v>58</v>
      </c>
      <c r="E4" s="19" t="s">
        <v>115</v>
      </c>
      <c r="F4" s="9">
        <v>1</v>
      </c>
      <c r="G4" s="9">
        <v>72</v>
      </c>
      <c r="H4" s="9" t="s">
        <v>117</v>
      </c>
      <c r="I4" s="3" t="s">
        <v>118</v>
      </c>
      <c r="J4" s="6" t="s">
        <v>119</v>
      </c>
      <c r="K4" s="20">
        <v>3</v>
      </c>
      <c r="L4" s="11" t="s">
        <v>135</v>
      </c>
      <c r="M4" s="6" t="s">
        <v>121</v>
      </c>
      <c r="N4" s="6" t="s">
        <v>122</v>
      </c>
      <c r="O4" s="6" t="s">
        <v>123</v>
      </c>
      <c r="P4" s="6" t="s">
        <v>282</v>
      </c>
      <c r="Q4" s="4" t="s">
        <v>124</v>
      </c>
      <c r="R4" s="4" t="s">
        <v>125</v>
      </c>
      <c r="S4" s="4" t="s">
        <v>126</v>
      </c>
      <c r="T4" s="10" t="s">
        <v>297</v>
      </c>
      <c r="U4" s="25" t="s">
        <v>128</v>
      </c>
      <c r="V4" s="6" t="s">
        <v>129</v>
      </c>
      <c r="W4" s="6" t="s">
        <v>130</v>
      </c>
      <c r="X4" s="6" t="s">
        <v>0</v>
      </c>
      <c r="Y4" s="6" t="s">
        <v>0</v>
      </c>
      <c r="Z4" s="6" t="s">
        <v>0</v>
      </c>
      <c r="AA4" s="6" t="s">
        <v>196</v>
      </c>
      <c r="AB4" s="21" t="s">
        <v>141</v>
      </c>
      <c r="AC4" s="28">
        <v>2</v>
      </c>
      <c r="AD4" s="25">
        <v>0.7</v>
      </c>
      <c r="AE4" s="6">
        <v>0.05</v>
      </c>
      <c r="AF4" s="6">
        <v>0.25</v>
      </c>
      <c r="AG4" s="6">
        <v>0.5</v>
      </c>
      <c r="AH4" s="68">
        <f>1-(1-AD4)*(1-AE4)*(1-AF4)*(1-AG4)</f>
        <v>0.89312499999999995</v>
      </c>
      <c r="AI4" s="69">
        <f>AH4*100</f>
        <v>89.3125</v>
      </c>
      <c r="AJ4" s="75" t="s">
        <v>143</v>
      </c>
      <c r="AK4" s="125">
        <f>(AH4)^3.2</f>
        <v>0.69649689975213147</v>
      </c>
      <c r="AL4" s="19">
        <v>0.1</v>
      </c>
      <c r="AM4" s="9">
        <v>0.1</v>
      </c>
      <c r="AN4" s="9">
        <v>0</v>
      </c>
      <c r="AO4" s="9">
        <f>1-(1-AL4)*(1-AM4)*(1-AN4)</f>
        <v>0.18999999999999995</v>
      </c>
      <c r="AP4" s="125">
        <f>1-AH4</f>
        <v>0.10687500000000005</v>
      </c>
      <c r="AQ4" s="129">
        <f>IF(AO4&lt;=AP4,0.5*((AO4/AP4)^2),1-0.5*(((1-AO4)/AH4)^2))</f>
        <v>0.58874087248982743</v>
      </c>
      <c r="AR4" s="71" t="s">
        <v>143</v>
      </c>
      <c r="AS4" s="97">
        <f>1-AK4</f>
        <v>0.30350310024786853</v>
      </c>
      <c r="AT4" s="95">
        <f>IF(AO4&lt;=AS4,0.5*((AO4/AS4)^2),1-0.5*(((1-AO4)/AH4)^2))</f>
        <v>0.19595256054109134</v>
      </c>
      <c r="AU4" s="77" t="s">
        <v>330</v>
      </c>
      <c r="AV4" s="111">
        <v>4.4999999999999999E-4</v>
      </c>
      <c r="AW4" s="98">
        <f>AQ4</f>
        <v>0.58874087248982743</v>
      </c>
      <c r="AX4" s="99">
        <f>AV4*AW4</f>
        <v>2.6493339262042236E-4</v>
      </c>
      <c r="AY4" s="73" t="s">
        <v>342</v>
      </c>
      <c r="AZ4" s="9">
        <f>K4</f>
        <v>3</v>
      </c>
      <c r="BA4" s="69">
        <f>AV4*AW4*AZ4</f>
        <v>7.9480017786126708E-4</v>
      </c>
      <c r="BB4" s="72" t="s">
        <v>343</v>
      </c>
      <c r="BC4" s="104">
        <f>AX4+BA4</f>
        <v>1.0597335704816894E-3</v>
      </c>
      <c r="BD4" s="112" t="s">
        <v>343</v>
      </c>
    </row>
    <row r="5" spans="1:56" s="5" customFormat="1" ht="30" x14ac:dyDescent="0.25">
      <c r="A5" s="19">
        <v>2</v>
      </c>
      <c r="B5" s="9" t="s">
        <v>31</v>
      </c>
      <c r="C5" s="9" t="s">
        <v>59</v>
      </c>
      <c r="D5" s="15" t="s">
        <v>60</v>
      </c>
      <c r="E5" s="19" t="s">
        <v>115</v>
      </c>
      <c r="F5" s="9">
        <v>1</v>
      </c>
      <c r="G5" s="9">
        <v>78</v>
      </c>
      <c r="H5" s="9" t="s">
        <v>117</v>
      </c>
      <c r="I5" s="3" t="s">
        <v>118</v>
      </c>
      <c r="J5" s="6" t="s">
        <v>119</v>
      </c>
      <c r="K5" s="20">
        <v>5</v>
      </c>
      <c r="L5" s="11" t="s">
        <v>136</v>
      </c>
      <c r="M5" s="6" t="s">
        <v>181</v>
      </c>
      <c r="N5" s="6" t="s">
        <v>122</v>
      </c>
      <c r="O5" s="6" t="s">
        <v>123</v>
      </c>
      <c r="P5" s="6" t="s">
        <v>282</v>
      </c>
      <c r="Q5" s="4" t="s">
        <v>124</v>
      </c>
      <c r="R5" s="4" t="s">
        <v>125</v>
      </c>
      <c r="S5" s="4" t="s">
        <v>126</v>
      </c>
      <c r="T5" s="10" t="s">
        <v>297</v>
      </c>
      <c r="U5" s="25" t="s">
        <v>176</v>
      </c>
      <c r="V5" s="6" t="s">
        <v>129</v>
      </c>
      <c r="W5" s="6" t="s">
        <v>130</v>
      </c>
      <c r="X5" s="6" t="s">
        <v>0</v>
      </c>
      <c r="Y5" s="6" t="s">
        <v>0</v>
      </c>
      <c r="Z5" s="6" t="s">
        <v>0</v>
      </c>
      <c r="AA5" s="6" t="s">
        <v>196</v>
      </c>
      <c r="AB5" s="20" t="s">
        <v>137</v>
      </c>
      <c r="AC5" s="28">
        <v>2</v>
      </c>
      <c r="AD5" s="25">
        <v>0.7</v>
      </c>
      <c r="AE5" s="6">
        <v>0.05</v>
      </c>
      <c r="AF5" s="6">
        <v>0</v>
      </c>
      <c r="AG5" s="6">
        <v>0.5</v>
      </c>
      <c r="AH5" s="68">
        <f t="shared" ref="AH5:AH39" si="0">1-(1-AD5)*(1-AE5)*(1-AF5)*(1-AG5)</f>
        <v>0.85749999999999993</v>
      </c>
      <c r="AI5" s="69">
        <f t="shared" ref="AI5:AI39" si="1">AH5*100</f>
        <v>85.75</v>
      </c>
      <c r="AJ5" s="75" t="s">
        <v>143</v>
      </c>
      <c r="AK5" s="125">
        <f>(AH5)^3.2</f>
        <v>0.61143347488958655</v>
      </c>
      <c r="AL5" s="19">
        <v>0.1</v>
      </c>
      <c r="AM5" s="9">
        <v>0.1</v>
      </c>
      <c r="AN5" s="9">
        <v>0</v>
      </c>
      <c r="AO5" s="9">
        <f t="shared" ref="AO5:AO39" si="2">1-(1-AL5)*(1-AM5)*(1-AN5)</f>
        <v>0.18999999999999995</v>
      </c>
      <c r="AP5" s="125">
        <f t="shared" ref="AP5:AP39" si="3">1-AH5</f>
        <v>0.14250000000000007</v>
      </c>
      <c r="AQ5" s="129">
        <f t="shared" ref="AQ5:AQ39" si="4">IF(AO5&lt;=AP5,0.5*((AO5/AP5)^2),1-0.5*(((1-AO5)/AH5)^2))</f>
        <v>0.55385936132053804</v>
      </c>
      <c r="AR5" s="71" t="s">
        <v>143</v>
      </c>
      <c r="AS5" s="97">
        <f t="shared" ref="AS5:AS39" si="5">1-AK5</f>
        <v>0.38856652511041345</v>
      </c>
      <c r="AT5" s="95">
        <f t="shared" ref="AT5:AT39" si="6">IF(AO5&lt;=AS5,0.5*((AO5/AS5)^2),1-0.5*(((1-AO5)/AH5)^2))</f>
        <v>0.11954913528971631</v>
      </c>
      <c r="AU5" s="77" t="s">
        <v>330</v>
      </c>
      <c r="AV5" s="111">
        <v>8.8999999999999995E-4</v>
      </c>
      <c r="AW5" s="98">
        <f t="shared" ref="AW5:AW39" si="7">AQ5</f>
        <v>0.55385936132053804</v>
      </c>
      <c r="AX5" s="99">
        <f t="shared" ref="AX5:AX39" si="8">AV5*AW5</f>
        <v>4.9293483157527879E-4</v>
      </c>
      <c r="AY5" s="73" t="s">
        <v>342</v>
      </c>
      <c r="AZ5" s="9">
        <f t="shared" ref="AZ5:AZ39" si="9">K5</f>
        <v>5</v>
      </c>
      <c r="BA5" s="69">
        <f>AV5*AW5*AZ5</f>
        <v>2.4646741578763938E-3</v>
      </c>
      <c r="BB5" s="72" t="s">
        <v>343</v>
      </c>
      <c r="BC5" s="104">
        <f t="shared" ref="BC5:BC39" si="10">AX5+BA5</f>
        <v>2.9576089894516725E-3</v>
      </c>
      <c r="BD5" s="113" t="s">
        <v>342</v>
      </c>
    </row>
    <row r="6" spans="1:56" s="5" customFormat="1" ht="30" x14ac:dyDescent="0.25">
      <c r="A6" s="19">
        <v>3</v>
      </c>
      <c r="B6" s="9" t="s">
        <v>32</v>
      </c>
      <c r="C6" s="9" t="s">
        <v>59</v>
      </c>
      <c r="D6" s="15" t="s">
        <v>61</v>
      </c>
      <c r="E6" s="19" t="s">
        <v>115</v>
      </c>
      <c r="F6" s="9">
        <v>1</v>
      </c>
      <c r="G6" s="9">
        <v>52</v>
      </c>
      <c r="H6" s="9" t="s">
        <v>138</v>
      </c>
      <c r="I6" s="3" t="s">
        <v>118</v>
      </c>
      <c r="J6" s="6" t="s">
        <v>119</v>
      </c>
      <c r="K6" s="20">
        <v>7</v>
      </c>
      <c r="L6" s="11" t="s">
        <v>136</v>
      </c>
      <c r="M6" s="6" t="s">
        <v>181</v>
      </c>
      <c r="N6" s="6" t="s">
        <v>122</v>
      </c>
      <c r="O6" s="6" t="s">
        <v>123</v>
      </c>
      <c r="P6" s="6" t="s">
        <v>140</v>
      </c>
      <c r="Q6" s="4" t="s">
        <v>124</v>
      </c>
      <c r="R6" s="4" t="s">
        <v>143</v>
      </c>
      <c r="S6" s="3" t="s">
        <v>143</v>
      </c>
      <c r="T6" s="10" t="s">
        <v>297</v>
      </c>
      <c r="U6" s="25" t="s">
        <v>128</v>
      </c>
      <c r="V6" s="6" t="s">
        <v>129</v>
      </c>
      <c r="W6" s="6" t="s">
        <v>130</v>
      </c>
      <c r="X6" s="6" t="s">
        <v>0</v>
      </c>
      <c r="Y6" s="6" t="s">
        <v>0</v>
      </c>
      <c r="Z6" s="9" t="s">
        <v>0</v>
      </c>
      <c r="AA6" s="6" t="s">
        <v>196</v>
      </c>
      <c r="AB6" s="21" t="s">
        <v>141</v>
      </c>
      <c r="AC6" s="28">
        <v>2</v>
      </c>
      <c r="AD6" s="25">
        <v>0.7</v>
      </c>
      <c r="AE6" s="6">
        <v>0.05</v>
      </c>
      <c r="AF6" s="6">
        <v>0.25</v>
      </c>
      <c r="AG6" s="6">
        <v>0.5</v>
      </c>
      <c r="AH6" s="68">
        <f t="shared" si="0"/>
        <v>0.89312499999999995</v>
      </c>
      <c r="AI6" s="69">
        <f t="shared" si="1"/>
        <v>89.3125</v>
      </c>
      <c r="AJ6" s="75" t="s">
        <v>143</v>
      </c>
      <c r="AK6" s="125">
        <f t="shared" ref="AK6:AK39" si="11">(AH6)^3.2</f>
        <v>0.69649689975213147</v>
      </c>
      <c r="AL6" s="19">
        <v>0.1</v>
      </c>
      <c r="AM6" s="9">
        <v>0.1</v>
      </c>
      <c r="AN6" s="9">
        <v>0</v>
      </c>
      <c r="AO6" s="9">
        <f t="shared" si="2"/>
        <v>0.18999999999999995</v>
      </c>
      <c r="AP6" s="125">
        <f t="shared" si="3"/>
        <v>0.10687500000000005</v>
      </c>
      <c r="AQ6" s="129">
        <f t="shared" si="4"/>
        <v>0.58874087248982743</v>
      </c>
      <c r="AR6" s="71" t="s">
        <v>143</v>
      </c>
      <c r="AS6" s="97">
        <f t="shared" si="5"/>
        <v>0.30350310024786853</v>
      </c>
      <c r="AT6" s="95">
        <f t="shared" si="6"/>
        <v>0.19595256054109134</v>
      </c>
      <c r="AU6" s="77" t="s">
        <v>330</v>
      </c>
      <c r="AV6" s="111">
        <v>8.8999999999999995E-4</v>
      </c>
      <c r="AW6" s="98">
        <f t="shared" si="7"/>
        <v>0.58874087248982743</v>
      </c>
      <c r="AX6" s="99">
        <f t="shared" si="8"/>
        <v>5.239793765159464E-4</v>
      </c>
      <c r="AY6" s="102" t="s">
        <v>342</v>
      </c>
      <c r="AZ6" s="9">
        <f t="shared" si="9"/>
        <v>7</v>
      </c>
      <c r="BA6" s="69">
        <f>AV6*AW6*AZ6</f>
        <v>3.6678556356116248E-3</v>
      </c>
      <c r="BB6" s="72" t="s">
        <v>343</v>
      </c>
      <c r="BC6" s="104">
        <f t="shared" si="10"/>
        <v>4.1918350121275712E-3</v>
      </c>
      <c r="BD6" s="114" t="s">
        <v>342</v>
      </c>
    </row>
    <row r="7" spans="1:56" s="5" customFormat="1" ht="30" x14ac:dyDescent="0.25">
      <c r="A7" s="19">
        <v>4</v>
      </c>
      <c r="B7" s="9" t="s">
        <v>33</v>
      </c>
      <c r="C7" s="9" t="s">
        <v>62</v>
      </c>
      <c r="D7" s="15" t="s">
        <v>63</v>
      </c>
      <c r="E7" s="19" t="s">
        <v>115</v>
      </c>
      <c r="F7" s="9">
        <v>1</v>
      </c>
      <c r="G7" s="9">
        <v>29.7</v>
      </c>
      <c r="H7" s="9" t="s">
        <v>117</v>
      </c>
      <c r="I7" s="3" t="s">
        <v>118</v>
      </c>
      <c r="J7" s="6" t="s">
        <v>142</v>
      </c>
      <c r="K7" s="20">
        <v>2</v>
      </c>
      <c r="L7" s="11" t="s">
        <v>136</v>
      </c>
      <c r="M7" s="6" t="s">
        <v>181</v>
      </c>
      <c r="N7" s="6" t="s">
        <v>122</v>
      </c>
      <c r="O7" s="6" t="s">
        <v>123</v>
      </c>
      <c r="P7" s="6" t="s">
        <v>283</v>
      </c>
      <c r="Q7" s="3" t="s">
        <v>124</v>
      </c>
      <c r="R7" s="3" t="s">
        <v>143</v>
      </c>
      <c r="S7" s="3" t="s">
        <v>143</v>
      </c>
      <c r="T7" s="10" t="s">
        <v>297</v>
      </c>
      <c r="U7" s="25" t="s">
        <v>128</v>
      </c>
      <c r="V7" s="6" t="s">
        <v>129</v>
      </c>
      <c r="W7" s="6" t="s">
        <v>130</v>
      </c>
      <c r="X7" s="6" t="s">
        <v>0</v>
      </c>
      <c r="Y7" s="6" t="s">
        <v>0</v>
      </c>
      <c r="Z7" s="9" t="s">
        <v>0</v>
      </c>
      <c r="AA7" s="6" t="s">
        <v>184</v>
      </c>
      <c r="AB7" s="21" t="s">
        <v>141</v>
      </c>
      <c r="AC7" s="28">
        <v>2</v>
      </c>
      <c r="AD7" s="25">
        <v>0.7</v>
      </c>
      <c r="AE7" s="6">
        <v>0.05</v>
      </c>
      <c r="AF7" s="6">
        <v>0.25</v>
      </c>
      <c r="AG7" s="6">
        <v>0.5</v>
      </c>
      <c r="AH7" s="68">
        <f t="shared" si="0"/>
        <v>0.89312499999999995</v>
      </c>
      <c r="AI7" s="69">
        <f t="shared" si="1"/>
        <v>89.3125</v>
      </c>
      <c r="AJ7" s="75" t="s">
        <v>143</v>
      </c>
      <c r="AK7" s="125">
        <f>(AH7)^3.2</f>
        <v>0.69649689975213147</v>
      </c>
      <c r="AL7" s="19">
        <v>0.1</v>
      </c>
      <c r="AM7" s="9">
        <v>0.1</v>
      </c>
      <c r="AN7" s="9">
        <v>0</v>
      </c>
      <c r="AO7" s="9">
        <f t="shared" si="2"/>
        <v>0.18999999999999995</v>
      </c>
      <c r="AP7" s="125">
        <f t="shared" si="3"/>
        <v>0.10687500000000005</v>
      </c>
      <c r="AQ7" s="129">
        <f t="shared" si="4"/>
        <v>0.58874087248982743</v>
      </c>
      <c r="AR7" s="71" t="s">
        <v>143</v>
      </c>
      <c r="AS7" s="97">
        <f t="shared" si="5"/>
        <v>0.30350310024786853</v>
      </c>
      <c r="AT7" s="95">
        <f t="shared" si="6"/>
        <v>0.19595256054109134</v>
      </c>
      <c r="AU7" s="77" t="s">
        <v>330</v>
      </c>
      <c r="AV7" s="111">
        <v>8.8999999999999995E-4</v>
      </c>
      <c r="AW7" s="98">
        <f t="shared" si="7"/>
        <v>0.58874087248982743</v>
      </c>
      <c r="AX7" s="99">
        <f t="shared" si="8"/>
        <v>5.239793765159464E-4</v>
      </c>
      <c r="AY7" s="73" t="s">
        <v>342</v>
      </c>
      <c r="AZ7" s="9">
        <f t="shared" si="9"/>
        <v>2</v>
      </c>
      <c r="BA7" s="69">
        <f>AV7*AW7*AZ7</f>
        <v>1.0479587530318928E-3</v>
      </c>
      <c r="BB7" s="72" t="s">
        <v>343</v>
      </c>
      <c r="BC7" s="104">
        <f t="shared" si="10"/>
        <v>1.5719381295478392E-3</v>
      </c>
      <c r="BD7" s="112" t="s">
        <v>343</v>
      </c>
    </row>
    <row r="8" spans="1:56" s="5" customFormat="1" ht="30" x14ac:dyDescent="0.25">
      <c r="A8" s="19">
        <v>5</v>
      </c>
      <c r="B8" s="9" t="s">
        <v>34</v>
      </c>
      <c r="C8" s="9" t="s">
        <v>64</v>
      </c>
      <c r="D8" s="15" t="s">
        <v>65</v>
      </c>
      <c r="E8" s="19" t="s">
        <v>115</v>
      </c>
      <c r="F8" s="9">
        <v>1</v>
      </c>
      <c r="G8" s="9">
        <v>35</v>
      </c>
      <c r="H8" s="9" t="s">
        <v>117</v>
      </c>
      <c r="I8" s="3" t="s">
        <v>118</v>
      </c>
      <c r="J8" s="6" t="s">
        <v>142</v>
      </c>
      <c r="K8" s="20">
        <v>3</v>
      </c>
      <c r="L8" s="11" t="s">
        <v>136</v>
      </c>
      <c r="M8" s="6" t="s">
        <v>181</v>
      </c>
      <c r="N8" s="6" t="s">
        <v>122</v>
      </c>
      <c r="O8" s="6" t="s">
        <v>123</v>
      </c>
      <c r="P8" s="6" t="s">
        <v>283</v>
      </c>
      <c r="Q8" s="3" t="s">
        <v>124</v>
      </c>
      <c r="R8" s="3" t="s">
        <v>143</v>
      </c>
      <c r="S8" s="3" t="s">
        <v>143</v>
      </c>
      <c r="T8" s="10" t="s">
        <v>297</v>
      </c>
      <c r="U8" s="25" t="s">
        <v>128</v>
      </c>
      <c r="V8" s="6" t="s">
        <v>129</v>
      </c>
      <c r="W8" s="6" t="s">
        <v>130</v>
      </c>
      <c r="X8" s="6" t="s">
        <v>0</v>
      </c>
      <c r="Y8" s="6" t="s">
        <v>0</v>
      </c>
      <c r="Z8" s="9" t="s">
        <v>0</v>
      </c>
      <c r="AA8" s="6" t="s">
        <v>184</v>
      </c>
      <c r="AB8" s="21" t="s">
        <v>141</v>
      </c>
      <c r="AC8" s="28">
        <v>2</v>
      </c>
      <c r="AD8" s="25">
        <v>0.7</v>
      </c>
      <c r="AE8" s="6">
        <v>0.05</v>
      </c>
      <c r="AF8" s="6">
        <v>0.25</v>
      </c>
      <c r="AG8" s="6">
        <v>0.5</v>
      </c>
      <c r="AH8" s="68">
        <f t="shared" si="0"/>
        <v>0.89312499999999995</v>
      </c>
      <c r="AI8" s="69">
        <f t="shared" si="1"/>
        <v>89.3125</v>
      </c>
      <c r="AJ8" s="75" t="s">
        <v>143</v>
      </c>
      <c r="AK8" s="125">
        <f t="shared" si="11"/>
        <v>0.69649689975213147</v>
      </c>
      <c r="AL8" s="19">
        <v>0.1</v>
      </c>
      <c r="AM8" s="9">
        <v>0.1</v>
      </c>
      <c r="AN8" s="9">
        <v>0</v>
      </c>
      <c r="AO8" s="9">
        <f t="shared" si="2"/>
        <v>0.18999999999999995</v>
      </c>
      <c r="AP8" s="125">
        <f t="shared" si="3"/>
        <v>0.10687500000000005</v>
      </c>
      <c r="AQ8" s="129">
        <f t="shared" si="4"/>
        <v>0.58874087248982743</v>
      </c>
      <c r="AR8" s="71" t="s">
        <v>143</v>
      </c>
      <c r="AS8" s="97">
        <f t="shared" si="5"/>
        <v>0.30350310024786853</v>
      </c>
      <c r="AT8" s="95">
        <f t="shared" si="6"/>
        <v>0.19595256054109134</v>
      </c>
      <c r="AU8" s="77" t="s">
        <v>330</v>
      </c>
      <c r="AV8" s="111">
        <v>8.8999999999999995E-4</v>
      </c>
      <c r="AW8" s="98">
        <f t="shared" si="7"/>
        <v>0.58874087248982743</v>
      </c>
      <c r="AX8" s="99">
        <f t="shared" si="8"/>
        <v>5.239793765159464E-4</v>
      </c>
      <c r="AY8" s="73" t="s">
        <v>342</v>
      </c>
      <c r="AZ8" s="9">
        <f t="shared" si="9"/>
        <v>3</v>
      </c>
      <c r="BA8" s="69">
        <f t="shared" ref="BA8:BA39" si="12">AV8*AW8*AZ8</f>
        <v>1.5719381295478392E-3</v>
      </c>
      <c r="BB8" s="72" t="s">
        <v>343</v>
      </c>
      <c r="BC8" s="104">
        <f t="shared" si="10"/>
        <v>2.0959175060637856E-3</v>
      </c>
      <c r="BD8" s="112" t="s">
        <v>343</v>
      </c>
    </row>
    <row r="9" spans="1:56" s="5" customFormat="1" ht="45" x14ac:dyDescent="0.25">
      <c r="A9" s="19">
        <v>6</v>
      </c>
      <c r="B9" s="9" t="s">
        <v>35</v>
      </c>
      <c r="C9" s="9" t="s">
        <v>66</v>
      </c>
      <c r="D9" s="15" t="s">
        <v>67</v>
      </c>
      <c r="E9" s="19" t="s">
        <v>115</v>
      </c>
      <c r="F9" s="9">
        <v>1</v>
      </c>
      <c r="G9" s="9">
        <v>60</v>
      </c>
      <c r="H9" s="9" t="s">
        <v>117</v>
      </c>
      <c r="I9" s="3" t="s">
        <v>118</v>
      </c>
      <c r="J9" s="6" t="s">
        <v>142</v>
      </c>
      <c r="K9" s="20">
        <v>3</v>
      </c>
      <c r="L9" s="11" t="s">
        <v>136</v>
      </c>
      <c r="M9" s="6" t="s">
        <v>181</v>
      </c>
      <c r="N9" s="6" t="s">
        <v>122</v>
      </c>
      <c r="O9" s="6" t="s">
        <v>123</v>
      </c>
      <c r="P9" s="6" t="s">
        <v>283</v>
      </c>
      <c r="Q9" s="3" t="s">
        <v>124</v>
      </c>
      <c r="R9" s="3" t="s">
        <v>143</v>
      </c>
      <c r="S9" s="3" t="s">
        <v>143</v>
      </c>
      <c r="T9" s="10" t="s">
        <v>297</v>
      </c>
      <c r="U9" s="25" t="s">
        <v>144</v>
      </c>
      <c r="V9" s="6" t="s">
        <v>129</v>
      </c>
      <c r="W9" s="6" t="s">
        <v>130</v>
      </c>
      <c r="X9" s="6" t="s">
        <v>0</v>
      </c>
      <c r="Y9" s="6" t="s">
        <v>0</v>
      </c>
      <c r="Z9" s="9" t="s">
        <v>0</v>
      </c>
      <c r="AA9" s="6" t="s">
        <v>184</v>
      </c>
      <c r="AB9" s="21" t="s">
        <v>141</v>
      </c>
      <c r="AC9" s="28">
        <v>2</v>
      </c>
      <c r="AD9" s="25">
        <v>0.7</v>
      </c>
      <c r="AE9" s="6">
        <v>0.05</v>
      </c>
      <c r="AF9" s="6">
        <v>0.5</v>
      </c>
      <c r="AG9" s="6">
        <v>0.5</v>
      </c>
      <c r="AH9" s="68">
        <f t="shared" si="0"/>
        <v>0.92874999999999996</v>
      </c>
      <c r="AI9" s="69">
        <f t="shared" si="1"/>
        <v>92.875</v>
      </c>
      <c r="AJ9" s="76" t="s">
        <v>305</v>
      </c>
      <c r="AK9" s="125">
        <f t="shared" si="11"/>
        <v>0.7893620547009822</v>
      </c>
      <c r="AL9" s="19">
        <v>0.1</v>
      </c>
      <c r="AM9" s="9">
        <v>0.1</v>
      </c>
      <c r="AN9" s="9">
        <v>0</v>
      </c>
      <c r="AO9" s="9">
        <f t="shared" si="2"/>
        <v>0.18999999999999995</v>
      </c>
      <c r="AP9" s="125">
        <f t="shared" si="3"/>
        <v>7.1250000000000036E-2</v>
      </c>
      <c r="AQ9" s="129">
        <f t="shared" si="4"/>
        <v>0.6196859336761773</v>
      </c>
      <c r="AR9" s="71" t="s">
        <v>143</v>
      </c>
      <c r="AS9" s="97">
        <f t="shared" si="5"/>
        <v>0.2106379452990178</v>
      </c>
      <c r="AT9" s="95">
        <f t="shared" si="6"/>
        <v>0.40682158432788484</v>
      </c>
      <c r="AU9" s="78" t="s">
        <v>154</v>
      </c>
      <c r="AV9" s="111">
        <v>8.8999999999999995E-4</v>
      </c>
      <c r="AW9" s="98">
        <f t="shared" si="7"/>
        <v>0.6196859336761773</v>
      </c>
      <c r="AX9" s="99">
        <f t="shared" si="8"/>
        <v>5.5152048097179777E-4</v>
      </c>
      <c r="AY9" s="73" t="s">
        <v>342</v>
      </c>
      <c r="AZ9" s="9">
        <f t="shared" si="9"/>
        <v>3</v>
      </c>
      <c r="BA9" s="69">
        <f t="shared" si="12"/>
        <v>1.6545614429153933E-3</v>
      </c>
      <c r="BB9" s="72" t="s">
        <v>343</v>
      </c>
      <c r="BC9" s="104">
        <f t="shared" si="10"/>
        <v>2.2060819238871911E-3</v>
      </c>
      <c r="BD9" s="112" t="s">
        <v>343</v>
      </c>
    </row>
    <row r="10" spans="1:56" s="5" customFormat="1" ht="60" x14ac:dyDescent="0.25">
      <c r="A10" s="19">
        <v>7</v>
      </c>
      <c r="B10" s="9" t="s">
        <v>274</v>
      </c>
      <c r="C10" s="9" t="s">
        <v>68</v>
      </c>
      <c r="D10" s="15" t="s">
        <v>69</v>
      </c>
      <c r="E10" s="19" t="s">
        <v>145</v>
      </c>
      <c r="F10" s="6">
        <v>2</v>
      </c>
      <c r="G10" s="6">
        <v>54</v>
      </c>
      <c r="H10" s="6" t="s">
        <v>117</v>
      </c>
      <c r="I10" s="4" t="s">
        <v>118</v>
      </c>
      <c r="J10" s="6" t="s">
        <v>142</v>
      </c>
      <c r="K10" s="21">
        <v>3</v>
      </c>
      <c r="L10" s="11" t="s">
        <v>166</v>
      </c>
      <c r="M10" s="6" t="s">
        <v>139</v>
      </c>
      <c r="N10" s="6" t="s">
        <v>122</v>
      </c>
      <c r="O10" s="6" t="s">
        <v>178</v>
      </c>
      <c r="P10" s="6" t="s">
        <v>179</v>
      </c>
      <c r="Q10" s="4" t="s">
        <v>124</v>
      </c>
      <c r="R10" s="4" t="s">
        <v>143</v>
      </c>
      <c r="S10" s="4" t="s">
        <v>143</v>
      </c>
      <c r="T10" s="10" t="s">
        <v>297</v>
      </c>
      <c r="U10" s="25" t="s">
        <v>146</v>
      </c>
      <c r="V10" s="6" t="s">
        <v>129</v>
      </c>
      <c r="W10" s="6" t="s">
        <v>130</v>
      </c>
      <c r="X10" s="6" t="s">
        <v>0</v>
      </c>
      <c r="Y10" s="6" t="s">
        <v>0</v>
      </c>
      <c r="Z10" s="9" t="s">
        <v>0</v>
      </c>
      <c r="AA10" s="6" t="s">
        <v>184</v>
      </c>
      <c r="AB10" s="20" t="s">
        <v>137</v>
      </c>
      <c r="AC10" s="28">
        <v>2</v>
      </c>
      <c r="AD10" s="25">
        <v>0.7</v>
      </c>
      <c r="AE10" s="6">
        <v>0.6</v>
      </c>
      <c r="AF10" s="6">
        <v>0.5</v>
      </c>
      <c r="AG10" s="6">
        <v>0.5</v>
      </c>
      <c r="AH10" s="68">
        <f t="shared" si="0"/>
        <v>0.97</v>
      </c>
      <c r="AI10" s="69">
        <f t="shared" si="1"/>
        <v>97</v>
      </c>
      <c r="AJ10" s="76" t="s">
        <v>305</v>
      </c>
      <c r="AK10" s="125">
        <f t="shared" si="11"/>
        <v>0.90713004130020858</v>
      </c>
      <c r="AL10" s="19">
        <v>0.1</v>
      </c>
      <c r="AM10" s="9">
        <v>0.1</v>
      </c>
      <c r="AN10" s="9">
        <v>0</v>
      </c>
      <c r="AO10" s="9">
        <f t="shared" si="2"/>
        <v>0.18999999999999995</v>
      </c>
      <c r="AP10" s="125">
        <f t="shared" si="3"/>
        <v>3.0000000000000027E-2</v>
      </c>
      <c r="AQ10" s="129">
        <f t="shared" si="4"/>
        <v>0.6513444574343713</v>
      </c>
      <c r="AR10" s="71" t="s">
        <v>143</v>
      </c>
      <c r="AS10" s="97">
        <f t="shared" si="5"/>
        <v>9.2869958699791422E-2</v>
      </c>
      <c r="AT10" s="95">
        <f t="shared" si="6"/>
        <v>0.6513444574343713</v>
      </c>
      <c r="AU10" s="76" t="s">
        <v>143</v>
      </c>
      <c r="AV10" s="111">
        <v>8.8999999999999995E-4</v>
      </c>
      <c r="AW10" s="98">
        <f t="shared" si="7"/>
        <v>0.6513444574343713</v>
      </c>
      <c r="AX10" s="99">
        <f t="shared" si="8"/>
        <v>5.7969656711659044E-4</v>
      </c>
      <c r="AY10" s="73" t="s">
        <v>342</v>
      </c>
      <c r="AZ10" s="9">
        <f t="shared" si="9"/>
        <v>3</v>
      </c>
      <c r="BA10" s="69">
        <f t="shared" si="12"/>
        <v>1.7390897013497713E-3</v>
      </c>
      <c r="BB10" s="72" t="s">
        <v>343</v>
      </c>
      <c r="BC10" s="104">
        <f t="shared" si="10"/>
        <v>2.3187862684663618E-3</v>
      </c>
      <c r="BD10" s="112" t="s">
        <v>343</v>
      </c>
    </row>
    <row r="11" spans="1:56" s="5" customFormat="1" ht="30" x14ac:dyDescent="0.25">
      <c r="A11" s="19">
        <v>8</v>
      </c>
      <c r="B11" s="9" t="s">
        <v>273</v>
      </c>
      <c r="C11" s="9" t="s">
        <v>275</v>
      </c>
      <c r="D11" s="15" t="s">
        <v>276</v>
      </c>
      <c r="E11" s="19" t="s">
        <v>115</v>
      </c>
      <c r="F11" s="6">
        <v>1</v>
      </c>
      <c r="G11" s="6" t="s">
        <v>277</v>
      </c>
      <c r="H11" s="6" t="s">
        <v>117</v>
      </c>
      <c r="I11" s="4" t="s">
        <v>118</v>
      </c>
      <c r="J11" s="6" t="s">
        <v>278</v>
      </c>
      <c r="K11" s="21">
        <v>3</v>
      </c>
      <c r="L11" s="11" t="s">
        <v>166</v>
      </c>
      <c r="M11" s="6" t="s">
        <v>195</v>
      </c>
      <c r="N11" s="6" t="s">
        <v>195</v>
      </c>
      <c r="O11" s="6" t="s">
        <v>166</v>
      </c>
      <c r="P11" s="6" t="s">
        <v>179</v>
      </c>
      <c r="Q11" s="4" t="s">
        <v>277</v>
      </c>
      <c r="R11" s="4" t="s">
        <v>143</v>
      </c>
      <c r="S11" s="4" t="s">
        <v>143</v>
      </c>
      <c r="T11" s="10" t="s">
        <v>185</v>
      </c>
      <c r="U11" s="25" t="s">
        <v>195</v>
      </c>
      <c r="V11" s="6" t="s">
        <v>195</v>
      </c>
      <c r="W11" s="6" t="s">
        <v>130</v>
      </c>
      <c r="X11" s="61" t="s">
        <v>195</v>
      </c>
      <c r="Y11" s="61" t="s">
        <v>195</v>
      </c>
      <c r="Z11" s="60" t="s">
        <v>195</v>
      </c>
      <c r="AA11" s="6" t="s">
        <v>184</v>
      </c>
      <c r="AB11" s="20" t="s">
        <v>195</v>
      </c>
      <c r="AC11" s="28">
        <v>2</v>
      </c>
      <c r="AD11" s="25">
        <v>0.7</v>
      </c>
      <c r="AE11" s="6">
        <v>0.05</v>
      </c>
      <c r="AF11" s="6">
        <v>0.25</v>
      </c>
      <c r="AG11" s="6">
        <v>0.5</v>
      </c>
      <c r="AH11" s="68">
        <f>1-(1-AD11)*(1-AE11)*(1-AF11)*(1-AG11)</f>
        <v>0.89312499999999995</v>
      </c>
      <c r="AI11" s="69">
        <f t="shared" si="1"/>
        <v>89.3125</v>
      </c>
      <c r="AJ11" s="75" t="s">
        <v>143</v>
      </c>
      <c r="AK11" s="125">
        <f t="shared" si="11"/>
        <v>0.69649689975213147</v>
      </c>
      <c r="AL11" s="19">
        <v>0.1</v>
      </c>
      <c r="AM11" s="9">
        <v>0.1</v>
      </c>
      <c r="AN11" s="9">
        <v>0</v>
      </c>
      <c r="AO11" s="9">
        <f t="shared" si="2"/>
        <v>0.18999999999999995</v>
      </c>
      <c r="AP11" s="125">
        <f t="shared" si="3"/>
        <v>0.10687500000000005</v>
      </c>
      <c r="AQ11" s="129">
        <f t="shared" si="4"/>
        <v>0.58874087248982743</v>
      </c>
      <c r="AR11" s="71" t="s">
        <v>143</v>
      </c>
      <c r="AS11" s="97">
        <f t="shared" si="5"/>
        <v>0.30350310024786853</v>
      </c>
      <c r="AT11" s="95">
        <f t="shared" si="6"/>
        <v>0.19595256054109134</v>
      </c>
      <c r="AU11" s="77" t="s">
        <v>330</v>
      </c>
      <c r="AV11" s="111">
        <v>8.8999999999999995E-4</v>
      </c>
      <c r="AW11" s="98">
        <f t="shared" si="7"/>
        <v>0.58874087248982743</v>
      </c>
      <c r="AX11" s="99">
        <f t="shared" si="8"/>
        <v>5.239793765159464E-4</v>
      </c>
      <c r="AY11" s="73" t="s">
        <v>342</v>
      </c>
      <c r="AZ11" s="9">
        <f>K11</f>
        <v>3</v>
      </c>
      <c r="BA11" s="69">
        <f>AV11*AW11*AZ11</f>
        <v>1.5719381295478392E-3</v>
      </c>
      <c r="BB11" s="72" t="s">
        <v>343</v>
      </c>
      <c r="BC11" s="104">
        <f t="shared" si="10"/>
        <v>2.0959175060637856E-3</v>
      </c>
      <c r="BD11" s="112" t="s">
        <v>343</v>
      </c>
    </row>
    <row r="12" spans="1:56" s="5" customFormat="1" ht="30" x14ac:dyDescent="0.25">
      <c r="A12" s="19">
        <v>9</v>
      </c>
      <c r="B12" s="9" t="s">
        <v>36</v>
      </c>
      <c r="C12" s="9" t="s">
        <v>70</v>
      </c>
      <c r="D12" s="15" t="s">
        <v>71</v>
      </c>
      <c r="E12" s="19" t="s">
        <v>145</v>
      </c>
      <c r="F12" s="6">
        <v>2</v>
      </c>
      <c r="G12" s="6">
        <v>78</v>
      </c>
      <c r="H12" s="6" t="s">
        <v>117</v>
      </c>
      <c r="I12" s="4" t="s">
        <v>118</v>
      </c>
      <c r="J12" s="6" t="s">
        <v>119</v>
      </c>
      <c r="K12" s="21">
        <v>8</v>
      </c>
      <c r="L12" s="11" t="s">
        <v>136</v>
      </c>
      <c r="M12" s="6" t="s">
        <v>147</v>
      </c>
      <c r="N12" s="6" t="s">
        <v>148</v>
      </c>
      <c r="O12" s="6" t="s">
        <v>149</v>
      </c>
      <c r="P12" s="6" t="s">
        <v>284</v>
      </c>
      <c r="Q12" s="4" t="s">
        <v>150</v>
      </c>
      <c r="R12" s="4" t="s">
        <v>125</v>
      </c>
      <c r="S12" s="4" t="s">
        <v>126</v>
      </c>
      <c r="T12" s="10" t="s">
        <v>151</v>
      </c>
      <c r="U12" s="25" t="s">
        <v>176</v>
      </c>
      <c r="V12" s="6" t="s">
        <v>129</v>
      </c>
      <c r="W12" s="6" t="s">
        <v>130</v>
      </c>
      <c r="X12" s="6" t="s">
        <v>0</v>
      </c>
      <c r="Y12" s="6" t="s">
        <v>0</v>
      </c>
      <c r="Z12" s="9" t="s">
        <v>0</v>
      </c>
      <c r="AA12" s="6" t="s">
        <v>196</v>
      </c>
      <c r="AB12" s="21" t="s">
        <v>141</v>
      </c>
      <c r="AC12" s="28">
        <v>1</v>
      </c>
      <c r="AD12" s="25">
        <v>0.3</v>
      </c>
      <c r="AE12" s="6">
        <v>0.6</v>
      </c>
      <c r="AF12" s="6">
        <v>0</v>
      </c>
      <c r="AG12" s="6">
        <v>0.3</v>
      </c>
      <c r="AH12" s="68">
        <f t="shared" si="0"/>
        <v>0.80400000000000005</v>
      </c>
      <c r="AI12" s="69">
        <f t="shared" si="1"/>
        <v>80.400000000000006</v>
      </c>
      <c r="AJ12" s="75" t="s">
        <v>143</v>
      </c>
      <c r="AK12" s="125">
        <f t="shared" si="11"/>
        <v>0.49753009518937347</v>
      </c>
      <c r="AL12" s="19">
        <v>0.1</v>
      </c>
      <c r="AM12" s="9">
        <v>0.1</v>
      </c>
      <c r="AN12" s="9">
        <v>0</v>
      </c>
      <c r="AO12" s="9">
        <f t="shared" si="2"/>
        <v>0.18999999999999995</v>
      </c>
      <c r="AP12" s="125">
        <f t="shared" si="3"/>
        <v>0.19599999999999995</v>
      </c>
      <c r="AQ12" s="129">
        <f t="shared" si="4"/>
        <v>0.46985630987088711</v>
      </c>
      <c r="AR12" s="73" t="s">
        <v>154</v>
      </c>
      <c r="AS12" s="97">
        <f t="shared" si="5"/>
        <v>0.50246990481062648</v>
      </c>
      <c r="AT12" s="95">
        <f t="shared" si="6"/>
        <v>7.1491942304827444E-2</v>
      </c>
      <c r="AU12" s="77" t="s">
        <v>330</v>
      </c>
      <c r="AV12" s="111">
        <v>4.4999999999999999E-4</v>
      </c>
      <c r="AW12" s="98">
        <f t="shared" si="7"/>
        <v>0.46985630987088711</v>
      </c>
      <c r="AX12" s="99">
        <f t="shared" si="8"/>
        <v>2.114353394418992E-4</v>
      </c>
      <c r="AY12" s="72" t="s">
        <v>343</v>
      </c>
      <c r="AZ12" s="9">
        <f t="shared" si="9"/>
        <v>8</v>
      </c>
      <c r="BA12" s="69">
        <f t="shared" si="12"/>
        <v>1.6914827155351936E-3</v>
      </c>
      <c r="BB12" s="72" t="s">
        <v>343</v>
      </c>
      <c r="BC12" s="104">
        <f t="shared" si="10"/>
        <v>1.9029180549770927E-3</v>
      </c>
      <c r="BD12" s="112" t="s">
        <v>343</v>
      </c>
    </row>
    <row r="13" spans="1:56" s="5" customFormat="1" ht="60" x14ac:dyDescent="0.25">
      <c r="A13" s="19">
        <v>10</v>
      </c>
      <c r="B13" s="9" t="s">
        <v>37</v>
      </c>
      <c r="C13" s="9" t="s">
        <v>72</v>
      </c>
      <c r="D13" s="15" t="s">
        <v>73</v>
      </c>
      <c r="E13" s="19" t="s">
        <v>145</v>
      </c>
      <c r="F13" s="6">
        <v>1</v>
      </c>
      <c r="G13" s="6">
        <v>60</v>
      </c>
      <c r="H13" s="6" t="s">
        <v>117</v>
      </c>
      <c r="I13" s="4" t="s">
        <v>118</v>
      </c>
      <c r="J13" s="6" t="s">
        <v>152</v>
      </c>
      <c r="K13" s="21">
        <v>8</v>
      </c>
      <c r="L13" s="11" t="s">
        <v>136</v>
      </c>
      <c r="M13" s="6" t="s">
        <v>181</v>
      </c>
      <c r="N13" s="6" t="s">
        <v>122</v>
      </c>
      <c r="O13" s="6" t="s">
        <v>123</v>
      </c>
      <c r="P13" s="6" t="s">
        <v>285</v>
      </c>
      <c r="Q13" s="4" t="s">
        <v>124</v>
      </c>
      <c r="R13" s="4" t="s">
        <v>143</v>
      </c>
      <c r="S13" s="4" t="s">
        <v>143</v>
      </c>
      <c r="T13" s="10" t="s">
        <v>297</v>
      </c>
      <c r="U13" s="25" t="s">
        <v>146</v>
      </c>
      <c r="V13" s="6" t="s">
        <v>129</v>
      </c>
      <c r="W13" s="6" t="s">
        <v>130</v>
      </c>
      <c r="X13" s="6" t="s">
        <v>0</v>
      </c>
      <c r="Y13" s="6" t="s">
        <v>0</v>
      </c>
      <c r="Z13" s="9" t="s">
        <v>0</v>
      </c>
      <c r="AA13" s="6" t="s">
        <v>184</v>
      </c>
      <c r="AB13" s="21" t="s">
        <v>137</v>
      </c>
      <c r="AC13" s="28">
        <v>1</v>
      </c>
      <c r="AD13" s="25">
        <v>0.7</v>
      </c>
      <c r="AE13" s="6">
        <v>0.05</v>
      </c>
      <c r="AF13" s="6">
        <v>0.5</v>
      </c>
      <c r="AG13" s="6">
        <v>0.5</v>
      </c>
      <c r="AH13" s="68">
        <f t="shared" si="0"/>
        <v>0.92874999999999996</v>
      </c>
      <c r="AI13" s="69">
        <f t="shared" si="1"/>
        <v>92.875</v>
      </c>
      <c r="AJ13" s="76" t="s">
        <v>305</v>
      </c>
      <c r="AK13" s="125">
        <f t="shared" si="11"/>
        <v>0.7893620547009822</v>
      </c>
      <c r="AL13" s="19">
        <v>0.1</v>
      </c>
      <c r="AM13" s="9">
        <v>0.1</v>
      </c>
      <c r="AN13" s="9">
        <v>0</v>
      </c>
      <c r="AO13" s="9">
        <f t="shared" si="2"/>
        <v>0.18999999999999995</v>
      </c>
      <c r="AP13" s="125">
        <f t="shared" si="3"/>
        <v>7.1250000000000036E-2</v>
      </c>
      <c r="AQ13" s="129">
        <f t="shared" si="4"/>
        <v>0.6196859336761773</v>
      </c>
      <c r="AR13" s="71" t="s">
        <v>143</v>
      </c>
      <c r="AS13" s="97">
        <f t="shared" si="5"/>
        <v>0.2106379452990178</v>
      </c>
      <c r="AT13" s="95">
        <f t="shared" si="6"/>
        <v>0.40682158432788484</v>
      </c>
      <c r="AU13" s="78" t="s">
        <v>154</v>
      </c>
      <c r="AV13" s="111">
        <v>1.6999999999999999E-3</v>
      </c>
      <c r="AW13" s="98">
        <f t="shared" si="7"/>
        <v>0.6196859336761773</v>
      </c>
      <c r="AX13" s="99">
        <f>AV13*AW13</f>
        <v>1.0534660872495013E-3</v>
      </c>
      <c r="AY13" s="71" t="s">
        <v>143</v>
      </c>
      <c r="AZ13" s="9">
        <f t="shared" si="9"/>
        <v>8</v>
      </c>
      <c r="BA13" s="69">
        <f t="shared" si="12"/>
        <v>8.4277286979960106E-3</v>
      </c>
      <c r="BB13" s="72" t="s">
        <v>343</v>
      </c>
      <c r="BC13" s="104">
        <f t="shared" si="10"/>
        <v>9.4811947852455128E-3</v>
      </c>
      <c r="BD13" s="113" t="s">
        <v>342</v>
      </c>
    </row>
    <row r="14" spans="1:56" s="5" customFormat="1" ht="30" x14ac:dyDescent="0.25">
      <c r="A14" s="19">
        <v>11</v>
      </c>
      <c r="B14" s="9" t="s">
        <v>38</v>
      </c>
      <c r="C14" s="9" t="s">
        <v>74</v>
      </c>
      <c r="D14" s="15" t="s">
        <v>75</v>
      </c>
      <c r="E14" s="19" t="s">
        <v>145</v>
      </c>
      <c r="F14" s="6">
        <v>1</v>
      </c>
      <c r="G14" s="6">
        <v>72</v>
      </c>
      <c r="H14" s="6" t="s">
        <v>117</v>
      </c>
      <c r="I14" s="4" t="s">
        <v>118</v>
      </c>
      <c r="J14" s="6" t="s">
        <v>119</v>
      </c>
      <c r="K14" s="21">
        <v>2</v>
      </c>
      <c r="L14" s="11" t="s">
        <v>136</v>
      </c>
      <c r="M14" s="6" t="s">
        <v>181</v>
      </c>
      <c r="N14" s="6" t="s">
        <v>122</v>
      </c>
      <c r="O14" s="6" t="s">
        <v>123</v>
      </c>
      <c r="P14" s="6">
        <v>2021</v>
      </c>
      <c r="Q14" s="4" t="s">
        <v>124</v>
      </c>
      <c r="R14" s="4" t="s">
        <v>125</v>
      </c>
      <c r="S14" s="4" t="s">
        <v>154</v>
      </c>
      <c r="T14" s="10" t="s">
        <v>297</v>
      </c>
      <c r="U14" s="25" t="s">
        <v>128</v>
      </c>
      <c r="V14" s="6" t="s">
        <v>155</v>
      </c>
      <c r="W14" s="6" t="s">
        <v>130</v>
      </c>
      <c r="X14" s="41" t="s">
        <v>1</v>
      </c>
      <c r="Y14" s="6" t="s">
        <v>0</v>
      </c>
      <c r="Z14" s="9" t="s">
        <v>0</v>
      </c>
      <c r="AA14" s="6" t="s">
        <v>196</v>
      </c>
      <c r="AB14" s="21" t="s">
        <v>137</v>
      </c>
      <c r="AC14" s="28">
        <v>1</v>
      </c>
      <c r="AD14" s="25">
        <v>0.7</v>
      </c>
      <c r="AE14" s="6">
        <v>0.05</v>
      </c>
      <c r="AF14" s="6">
        <v>0.25</v>
      </c>
      <c r="AG14" s="6">
        <v>0.3</v>
      </c>
      <c r="AH14" s="68">
        <f t="shared" si="0"/>
        <v>0.85037499999999999</v>
      </c>
      <c r="AI14" s="69">
        <f t="shared" si="1"/>
        <v>85.037499999999994</v>
      </c>
      <c r="AJ14" s="75" t="s">
        <v>143</v>
      </c>
      <c r="AK14" s="125">
        <f t="shared" si="11"/>
        <v>0.59532421599202678</v>
      </c>
      <c r="AL14" s="19">
        <v>0.1</v>
      </c>
      <c r="AM14" s="9">
        <v>0.1</v>
      </c>
      <c r="AN14" s="9">
        <v>0</v>
      </c>
      <c r="AO14" s="9">
        <f t="shared" si="2"/>
        <v>0.18999999999999995</v>
      </c>
      <c r="AP14" s="125">
        <f t="shared" si="3"/>
        <v>0.14962500000000001</v>
      </c>
      <c r="AQ14" s="129">
        <f t="shared" si="4"/>
        <v>0.54635192310488767</v>
      </c>
      <c r="AR14" s="71" t="s">
        <v>143</v>
      </c>
      <c r="AS14" s="97">
        <f t="shared" si="5"/>
        <v>0.40467578400797322</v>
      </c>
      <c r="AT14" s="95">
        <f t="shared" si="6"/>
        <v>0.11022060046896387</v>
      </c>
      <c r="AU14" s="77" t="s">
        <v>330</v>
      </c>
      <c r="AV14" s="111">
        <v>4.4999999999999999E-4</v>
      </c>
      <c r="AW14" s="98">
        <f t="shared" si="7"/>
        <v>0.54635192310488767</v>
      </c>
      <c r="AX14" s="99">
        <f t="shared" si="8"/>
        <v>2.4585836539719943E-4</v>
      </c>
      <c r="AY14" s="72" t="s">
        <v>343</v>
      </c>
      <c r="AZ14" s="9">
        <f t="shared" si="9"/>
        <v>2</v>
      </c>
      <c r="BA14" s="69">
        <f t="shared" si="12"/>
        <v>4.9171673079439885E-4</v>
      </c>
      <c r="BB14" s="72" t="s">
        <v>343</v>
      </c>
      <c r="BC14" s="104">
        <f t="shared" si="10"/>
        <v>7.3757509619159828E-4</v>
      </c>
      <c r="BD14" s="115" t="s">
        <v>345</v>
      </c>
    </row>
    <row r="15" spans="1:56" s="5" customFormat="1" ht="45" x14ac:dyDescent="0.25">
      <c r="A15" s="19">
        <v>12</v>
      </c>
      <c r="B15" s="9" t="s">
        <v>182</v>
      </c>
      <c r="C15" s="9" t="s">
        <v>76</v>
      </c>
      <c r="D15" s="15" t="s">
        <v>77</v>
      </c>
      <c r="E15" s="19" t="s">
        <v>145</v>
      </c>
      <c r="F15" s="6">
        <v>1</v>
      </c>
      <c r="G15" s="6">
        <v>72</v>
      </c>
      <c r="H15" s="6" t="s">
        <v>117</v>
      </c>
      <c r="I15" s="4" t="s">
        <v>118</v>
      </c>
      <c r="J15" s="6" t="s">
        <v>156</v>
      </c>
      <c r="K15" s="21">
        <v>3</v>
      </c>
      <c r="L15" s="11" t="s">
        <v>136</v>
      </c>
      <c r="M15" s="6" t="s">
        <v>181</v>
      </c>
      <c r="N15" s="6" t="s">
        <v>122</v>
      </c>
      <c r="O15" s="6" t="s">
        <v>149</v>
      </c>
      <c r="P15" s="6">
        <v>2006</v>
      </c>
      <c r="Q15" s="4" t="s">
        <v>124</v>
      </c>
      <c r="R15" s="4" t="s">
        <v>154</v>
      </c>
      <c r="S15" s="4" t="s">
        <v>126</v>
      </c>
      <c r="T15" s="10" t="s">
        <v>297</v>
      </c>
      <c r="U15" s="25" t="s">
        <v>157</v>
      </c>
      <c r="V15" s="6" t="s">
        <v>129</v>
      </c>
      <c r="W15" s="6" t="s">
        <v>130</v>
      </c>
      <c r="X15" s="6" t="s">
        <v>0</v>
      </c>
      <c r="Y15" s="40" t="s">
        <v>2</v>
      </c>
      <c r="Z15" s="9" t="s">
        <v>0</v>
      </c>
      <c r="AA15" s="6" t="s">
        <v>184</v>
      </c>
      <c r="AB15" s="21" t="s">
        <v>137</v>
      </c>
      <c r="AC15" s="28">
        <v>1</v>
      </c>
      <c r="AD15" s="25">
        <v>0.7</v>
      </c>
      <c r="AE15" s="6">
        <v>0.05</v>
      </c>
      <c r="AF15" s="6">
        <v>0.25</v>
      </c>
      <c r="AG15" s="6">
        <v>0.3</v>
      </c>
      <c r="AH15" s="68">
        <f t="shared" si="0"/>
        <v>0.85037499999999999</v>
      </c>
      <c r="AI15" s="69">
        <f t="shared" si="1"/>
        <v>85.037499999999994</v>
      </c>
      <c r="AJ15" s="75" t="s">
        <v>143</v>
      </c>
      <c r="AK15" s="125">
        <f t="shared" si="11"/>
        <v>0.59532421599202678</v>
      </c>
      <c r="AL15" s="19">
        <v>0.1</v>
      </c>
      <c r="AM15" s="9">
        <v>0.1</v>
      </c>
      <c r="AN15" s="9">
        <v>0</v>
      </c>
      <c r="AO15" s="9">
        <f t="shared" si="2"/>
        <v>0.18999999999999995</v>
      </c>
      <c r="AP15" s="125">
        <f t="shared" si="3"/>
        <v>0.14962500000000001</v>
      </c>
      <c r="AQ15" s="129">
        <f t="shared" si="4"/>
        <v>0.54635192310488767</v>
      </c>
      <c r="AR15" s="71" t="s">
        <v>143</v>
      </c>
      <c r="AS15" s="97">
        <f t="shared" si="5"/>
        <v>0.40467578400797322</v>
      </c>
      <c r="AT15" s="95">
        <f t="shared" si="6"/>
        <v>0.11022060046896387</v>
      </c>
      <c r="AU15" s="77" t="s">
        <v>330</v>
      </c>
      <c r="AV15" s="111">
        <v>4.4999999999999999E-4</v>
      </c>
      <c r="AW15" s="98">
        <f t="shared" si="7"/>
        <v>0.54635192310488767</v>
      </c>
      <c r="AX15" s="99">
        <f t="shared" si="8"/>
        <v>2.4585836539719943E-4</v>
      </c>
      <c r="AY15" s="72" t="s">
        <v>343</v>
      </c>
      <c r="AZ15" s="9">
        <f t="shared" si="9"/>
        <v>3</v>
      </c>
      <c r="BA15" s="69">
        <f t="shared" si="12"/>
        <v>7.3757509619159828E-4</v>
      </c>
      <c r="BB15" s="72" t="s">
        <v>343</v>
      </c>
      <c r="BC15" s="104">
        <f>AX15+BA15</f>
        <v>9.834334615887977E-4</v>
      </c>
      <c r="BD15" s="112" t="s">
        <v>343</v>
      </c>
    </row>
    <row r="16" spans="1:56" s="5" customFormat="1" ht="30" x14ac:dyDescent="0.25">
      <c r="A16" s="19">
        <v>13</v>
      </c>
      <c r="B16" s="9" t="s">
        <v>39</v>
      </c>
      <c r="C16" s="9" t="s">
        <v>78</v>
      </c>
      <c r="D16" s="15" t="s">
        <v>79</v>
      </c>
      <c r="E16" s="19" t="s">
        <v>115</v>
      </c>
      <c r="F16" s="6">
        <v>1</v>
      </c>
      <c r="G16" s="6">
        <v>72</v>
      </c>
      <c r="H16" s="6" t="s">
        <v>117</v>
      </c>
      <c r="I16" s="4" t="s">
        <v>118</v>
      </c>
      <c r="J16" s="6" t="s">
        <v>119</v>
      </c>
      <c r="K16" s="21">
        <v>3</v>
      </c>
      <c r="L16" s="11" t="s">
        <v>158</v>
      </c>
      <c r="M16" s="6" t="s">
        <v>181</v>
      </c>
      <c r="N16" s="6" t="s">
        <v>159</v>
      </c>
      <c r="O16" s="6" t="s">
        <v>149</v>
      </c>
      <c r="P16" s="6">
        <v>2000</v>
      </c>
      <c r="Q16" s="4" t="s">
        <v>160</v>
      </c>
      <c r="R16" s="4" t="s">
        <v>125</v>
      </c>
      <c r="S16" s="4" t="s">
        <v>126</v>
      </c>
      <c r="T16" s="10" t="s">
        <v>134</v>
      </c>
      <c r="U16" s="25" t="s">
        <v>176</v>
      </c>
      <c r="V16" s="6" t="s">
        <v>129</v>
      </c>
      <c r="W16" s="6" t="s">
        <v>130</v>
      </c>
      <c r="X16" s="6" t="s">
        <v>0</v>
      </c>
      <c r="Y16" s="6" t="s">
        <v>0</v>
      </c>
      <c r="Z16" s="6" t="s">
        <v>0</v>
      </c>
      <c r="AA16" s="6" t="s">
        <v>196</v>
      </c>
      <c r="AB16" s="21" t="s">
        <v>137</v>
      </c>
      <c r="AC16" s="28">
        <v>1</v>
      </c>
      <c r="AD16" s="25">
        <v>0.5</v>
      </c>
      <c r="AE16" s="6">
        <v>0.05</v>
      </c>
      <c r="AF16" s="6">
        <v>0</v>
      </c>
      <c r="AG16" s="6">
        <v>0.3</v>
      </c>
      <c r="AH16" s="68">
        <f t="shared" si="0"/>
        <v>0.66749999999999998</v>
      </c>
      <c r="AI16" s="69">
        <f t="shared" si="1"/>
        <v>66.75</v>
      </c>
      <c r="AJ16" s="77" t="s">
        <v>154</v>
      </c>
      <c r="AK16" s="125">
        <f t="shared" si="11"/>
        <v>0.27431153103914752</v>
      </c>
      <c r="AL16" s="19">
        <v>0.1</v>
      </c>
      <c r="AM16" s="9">
        <v>0.1</v>
      </c>
      <c r="AN16" s="9">
        <v>0</v>
      </c>
      <c r="AO16" s="9">
        <f t="shared" si="2"/>
        <v>0.18999999999999995</v>
      </c>
      <c r="AP16" s="125">
        <f t="shared" si="3"/>
        <v>0.33250000000000002</v>
      </c>
      <c r="AQ16" s="129">
        <f t="shared" si="4"/>
        <v>0.16326530612244891</v>
      </c>
      <c r="AR16" s="72" t="s">
        <v>330</v>
      </c>
      <c r="AS16" s="97">
        <f t="shared" si="5"/>
        <v>0.72568846896085248</v>
      </c>
      <c r="AT16" s="95">
        <f t="shared" si="6"/>
        <v>3.4274944613666945E-2</v>
      </c>
      <c r="AU16" s="77" t="s">
        <v>330</v>
      </c>
      <c r="AV16" s="111">
        <v>4.4999999999999999E-4</v>
      </c>
      <c r="AW16" s="98">
        <f t="shared" si="7"/>
        <v>0.16326530612244891</v>
      </c>
      <c r="AX16" s="99">
        <f t="shared" si="8"/>
        <v>7.3469387755102005E-5</v>
      </c>
      <c r="AY16" s="72" t="s">
        <v>343</v>
      </c>
      <c r="AZ16" s="9">
        <f t="shared" si="9"/>
        <v>3</v>
      </c>
      <c r="BA16" s="69">
        <f t="shared" si="12"/>
        <v>2.2040816326530601E-4</v>
      </c>
      <c r="BB16" s="72" t="s">
        <v>343</v>
      </c>
      <c r="BC16" s="104">
        <f t="shared" si="10"/>
        <v>2.9387755102040802E-4</v>
      </c>
      <c r="BD16" s="115" t="s">
        <v>345</v>
      </c>
    </row>
    <row r="17" spans="1:56" s="5" customFormat="1" ht="30" x14ac:dyDescent="0.25">
      <c r="A17" s="19">
        <v>14</v>
      </c>
      <c r="B17" s="9" t="s">
        <v>40</v>
      </c>
      <c r="C17" s="9" t="s">
        <v>80</v>
      </c>
      <c r="D17" s="15" t="s">
        <v>81</v>
      </c>
      <c r="E17" s="19" t="s">
        <v>115</v>
      </c>
      <c r="F17" s="6">
        <v>1</v>
      </c>
      <c r="G17" s="6">
        <v>72</v>
      </c>
      <c r="H17" s="6" t="s">
        <v>117</v>
      </c>
      <c r="I17" s="4" t="s">
        <v>118</v>
      </c>
      <c r="J17" s="6" t="s">
        <v>119</v>
      </c>
      <c r="K17" s="21">
        <v>3</v>
      </c>
      <c r="L17" s="11" t="s">
        <v>158</v>
      </c>
      <c r="M17" s="6" t="s">
        <v>181</v>
      </c>
      <c r="N17" s="6" t="s">
        <v>159</v>
      </c>
      <c r="O17" s="6" t="s">
        <v>149</v>
      </c>
      <c r="P17" s="6">
        <v>2004</v>
      </c>
      <c r="Q17" s="4" t="s">
        <v>161</v>
      </c>
      <c r="R17" s="4" t="s">
        <v>125</v>
      </c>
      <c r="S17" s="4" t="s">
        <v>126</v>
      </c>
      <c r="T17" s="10" t="s">
        <v>134</v>
      </c>
      <c r="U17" s="25" t="s">
        <v>176</v>
      </c>
      <c r="V17" s="6" t="s">
        <v>129</v>
      </c>
      <c r="W17" s="6" t="s">
        <v>130</v>
      </c>
      <c r="X17" s="6" t="s">
        <v>0</v>
      </c>
      <c r="Y17" s="6" t="s">
        <v>0</v>
      </c>
      <c r="Z17" s="6" t="s">
        <v>0</v>
      </c>
      <c r="AA17" s="6" t="s">
        <v>196</v>
      </c>
      <c r="AB17" s="21" t="s">
        <v>137</v>
      </c>
      <c r="AC17" s="28">
        <v>1</v>
      </c>
      <c r="AD17" s="25">
        <v>0.5</v>
      </c>
      <c r="AE17" s="6">
        <v>0.05</v>
      </c>
      <c r="AF17" s="6">
        <v>0</v>
      </c>
      <c r="AG17" s="6">
        <v>0.3</v>
      </c>
      <c r="AH17" s="68">
        <f t="shared" si="0"/>
        <v>0.66749999999999998</v>
      </c>
      <c r="AI17" s="69">
        <f t="shared" si="1"/>
        <v>66.75</v>
      </c>
      <c r="AJ17" s="77" t="s">
        <v>154</v>
      </c>
      <c r="AK17" s="125">
        <f t="shared" si="11"/>
        <v>0.27431153103914752</v>
      </c>
      <c r="AL17" s="19">
        <v>0.1</v>
      </c>
      <c r="AM17" s="9">
        <v>0.1</v>
      </c>
      <c r="AN17" s="9">
        <v>0</v>
      </c>
      <c r="AO17" s="9">
        <f t="shared" si="2"/>
        <v>0.18999999999999995</v>
      </c>
      <c r="AP17" s="125">
        <f t="shared" si="3"/>
        <v>0.33250000000000002</v>
      </c>
      <c r="AQ17" s="129">
        <f t="shared" si="4"/>
        <v>0.16326530612244891</v>
      </c>
      <c r="AR17" s="72" t="s">
        <v>330</v>
      </c>
      <c r="AS17" s="97">
        <f t="shared" si="5"/>
        <v>0.72568846896085248</v>
      </c>
      <c r="AT17" s="95">
        <f t="shared" si="6"/>
        <v>3.4274944613666945E-2</v>
      </c>
      <c r="AU17" s="77" t="s">
        <v>330</v>
      </c>
      <c r="AV17" s="111">
        <v>4.4999999999999999E-4</v>
      </c>
      <c r="AW17" s="98">
        <f t="shared" si="7"/>
        <v>0.16326530612244891</v>
      </c>
      <c r="AX17" s="99">
        <f t="shared" si="8"/>
        <v>7.3469387755102005E-5</v>
      </c>
      <c r="AY17" s="72" t="s">
        <v>343</v>
      </c>
      <c r="AZ17" s="9">
        <f t="shared" si="9"/>
        <v>3</v>
      </c>
      <c r="BA17" s="69">
        <f t="shared" si="12"/>
        <v>2.2040816326530601E-4</v>
      </c>
      <c r="BB17" s="72" t="s">
        <v>343</v>
      </c>
      <c r="BC17" s="104">
        <f t="shared" si="10"/>
        <v>2.9387755102040802E-4</v>
      </c>
      <c r="BD17" s="115" t="s">
        <v>345</v>
      </c>
    </row>
    <row r="18" spans="1:56" s="5" customFormat="1" ht="30" x14ac:dyDescent="0.25">
      <c r="A18" s="19">
        <v>15</v>
      </c>
      <c r="B18" s="9" t="s">
        <v>41</v>
      </c>
      <c r="C18" s="9" t="s">
        <v>82</v>
      </c>
      <c r="D18" s="15" t="s">
        <v>83</v>
      </c>
      <c r="E18" s="19" t="s">
        <v>145</v>
      </c>
      <c r="F18" s="6">
        <v>1</v>
      </c>
      <c r="G18" s="6">
        <v>72</v>
      </c>
      <c r="H18" s="6" t="s">
        <v>117</v>
      </c>
      <c r="I18" s="4" t="s">
        <v>118</v>
      </c>
      <c r="J18" s="6" t="s">
        <v>119</v>
      </c>
      <c r="K18" s="21">
        <v>2</v>
      </c>
      <c r="L18" s="11" t="s">
        <v>158</v>
      </c>
      <c r="M18" s="6" t="s">
        <v>181</v>
      </c>
      <c r="N18" s="6" t="s">
        <v>159</v>
      </c>
      <c r="O18" s="6" t="s">
        <v>149</v>
      </c>
      <c r="P18" s="6">
        <v>2014</v>
      </c>
      <c r="Q18" s="4" t="s">
        <v>124</v>
      </c>
      <c r="R18" s="4" t="s">
        <v>154</v>
      </c>
      <c r="S18" s="4" t="s">
        <v>126</v>
      </c>
      <c r="T18" s="10" t="s">
        <v>134</v>
      </c>
      <c r="U18" s="25" t="s">
        <v>176</v>
      </c>
      <c r="V18" s="6" t="s">
        <v>129</v>
      </c>
      <c r="W18" s="6" t="s">
        <v>130</v>
      </c>
      <c r="X18" s="6" t="s">
        <v>0</v>
      </c>
      <c r="Y18" s="6" t="s">
        <v>0</v>
      </c>
      <c r="Z18" s="6" t="s">
        <v>0</v>
      </c>
      <c r="AA18" s="6" t="s">
        <v>196</v>
      </c>
      <c r="AB18" s="21" t="s">
        <v>137</v>
      </c>
      <c r="AC18" s="28">
        <v>1</v>
      </c>
      <c r="AD18" s="25">
        <v>0.5</v>
      </c>
      <c r="AE18" s="6">
        <v>0.05</v>
      </c>
      <c r="AF18" s="6">
        <v>0</v>
      </c>
      <c r="AG18" s="6">
        <v>0.3</v>
      </c>
      <c r="AH18" s="68">
        <f t="shared" si="0"/>
        <v>0.66749999999999998</v>
      </c>
      <c r="AI18" s="69">
        <f t="shared" si="1"/>
        <v>66.75</v>
      </c>
      <c r="AJ18" s="77" t="s">
        <v>154</v>
      </c>
      <c r="AK18" s="125">
        <f t="shared" si="11"/>
        <v>0.27431153103914752</v>
      </c>
      <c r="AL18" s="19">
        <v>0.1</v>
      </c>
      <c r="AM18" s="9">
        <v>0.1</v>
      </c>
      <c r="AN18" s="9">
        <v>0</v>
      </c>
      <c r="AO18" s="9">
        <f t="shared" si="2"/>
        <v>0.18999999999999995</v>
      </c>
      <c r="AP18" s="125">
        <f t="shared" si="3"/>
        <v>0.33250000000000002</v>
      </c>
      <c r="AQ18" s="129">
        <f t="shared" si="4"/>
        <v>0.16326530612244891</v>
      </c>
      <c r="AR18" s="72" t="s">
        <v>330</v>
      </c>
      <c r="AS18" s="97">
        <f t="shared" si="5"/>
        <v>0.72568846896085248</v>
      </c>
      <c r="AT18" s="95">
        <f t="shared" si="6"/>
        <v>3.4274944613666945E-2</v>
      </c>
      <c r="AU18" s="77" t="s">
        <v>330</v>
      </c>
      <c r="AV18" s="111">
        <v>4.4999999999999999E-4</v>
      </c>
      <c r="AW18" s="98">
        <f t="shared" si="7"/>
        <v>0.16326530612244891</v>
      </c>
      <c r="AX18" s="99">
        <f t="shared" si="8"/>
        <v>7.3469387755102005E-5</v>
      </c>
      <c r="AY18" s="72" t="s">
        <v>343</v>
      </c>
      <c r="AZ18" s="9">
        <f t="shared" si="9"/>
        <v>2</v>
      </c>
      <c r="BA18" s="69">
        <f t="shared" si="12"/>
        <v>1.4693877551020401E-4</v>
      </c>
      <c r="BB18" s="72" t="s">
        <v>343</v>
      </c>
      <c r="BC18" s="104">
        <f t="shared" si="10"/>
        <v>2.2040816326530601E-4</v>
      </c>
      <c r="BD18" s="115" t="s">
        <v>345</v>
      </c>
    </row>
    <row r="19" spans="1:56" s="5" customFormat="1" ht="30" x14ac:dyDescent="0.25">
      <c r="A19" s="19">
        <v>16</v>
      </c>
      <c r="B19" s="9" t="s">
        <v>42</v>
      </c>
      <c r="C19" s="9" t="s">
        <v>84</v>
      </c>
      <c r="D19" s="15" t="s">
        <v>85</v>
      </c>
      <c r="E19" s="19" t="s">
        <v>145</v>
      </c>
      <c r="F19" s="6">
        <v>2</v>
      </c>
      <c r="G19" s="6">
        <v>72</v>
      </c>
      <c r="H19" s="6" t="s">
        <v>117</v>
      </c>
      <c r="I19" s="4" t="s">
        <v>118</v>
      </c>
      <c r="J19" s="6" t="s">
        <v>119</v>
      </c>
      <c r="K19" s="21">
        <v>0</v>
      </c>
      <c r="L19" s="11" t="s">
        <v>136</v>
      </c>
      <c r="M19" s="6" t="s">
        <v>121</v>
      </c>
      <c r="N19" s="6" t="s">
        <v>159</v>
      </c>
      <c r="O19" s="6" t="s">
        <v>183</v>
      </c>
      <c r="P19" s="6" t="s">
        <v>140</v>
      </c>
      <c r="Q19" s="4" t="s">
        <v>150</v>
      </c>
      <c r="R19" s="4" t="s">
        <v>125</v>
      </c>
      <c r="S19" s="4" t="s">
        <v>126</v>
      </c>
      <c r="T19" s="10" t="s">
        <v>134</v>
      </c>
      <c r="U19" s="25" t="s">
        <v>176</v>
      </c>
      <c r="V19" s="6" t="s">
        <v>129</v>
      </c>
      <c r="W19" s="6" t="s">
        <v>130</v>
      </c>
      <c r="X19" s="6" t="s">
        <v>0</v>
      </c>
      <c r="Y19" s="6" t="s">
        <v>0</v>
      </c>
      <c r="Z19" s="6" t="s">
        <v>0</v>
      </c>
      <c r="AA19" s="6" t="s">
        <v>196</v>
      </c>
      <c r="AB19" s="21" t="s">
        <v>137</v>
      </c>
      <c r="AC19" s="28">
        <v>1</v>
      </c>
      <c r="AD19" s="25">
        <v>0.5</v>
      </c>
      <c r="AE19" s="6">
        <v>0.6</v>
      </c>
      <c r="AF19" s="6">
        <v>0</v>
      </c>
      <c r="AG19" s="6">
        <v>0.5</v>
      </c>
      <c r="AH19" s="68">
        <f t="shared" si="0"/>
        <v>0.9</v>
      </c>
      <c r="AI19" s="69">
        <f t="shared" si="1"/>
        <v>90</v>
      </c>
      <c r="AJ19" s="76" t="s">
        <v>307</v>
      </c>
      <c r="AK19" s="125">
        <f t="shared" si="11"/>
        <v>0.71379915616115208</v>
      </c>
      <c r="AL19" s="19">
        <v>0.1</v>
      </c>
      <c r="AM19" s="9">
        <v>0.1</v>
      </c>
      <c r="AN19" s="9">
        <v>0</v>
      </c>
      <c r="AO19" s="9">
        <f t="shared" si="2"/>
        <v>0.18999999999999995</v>
      </c>
      <c r="AP19" s="125">
        <f t="shared" si="3"/>
        <v>9.9999999999999978E-2</v>
      </c>
      <c r="AQ19" s="129">
        <f t="shared" si="4"/>
        <v>0.59499999999999997</v>
      </c>
      <c r="AR19" s="71" t="s">
        <v>143</v>
      </c>
      <c r="AS19" s="97">
        <f t="shared" si="5"/>
        <v>0.28620084383884792</v>
      </c>
      <c r="AT19" s="95">
        <f t="shared" si="6"/>
        <v>0.2203613307702541</v>
      </c>
      <c r="AU19" s="77" t="s">
        <v>330</v>
      </c>
      <c r="AV19" s="111">
        <v>4.4999999999999999E-4</v>
      </c>
      <c r="AW19" s="98">
        <f t="shared" si="7"/>
        <v>0.59499999999999997</v>
      </c>
      <c r="AX19" s="99">
        <f t="shared" si="8"/>
        <v>2.6774999999999998E-4</v>
      </c>
      <c r="AY19" s="72" t="s">
        <v>343</v>
      </c>
      <c r="AZ19" s="9">
        <v>0</v>
      </c>
      <c r="BA19" s="69">
        <f t="shared" si="12"/>
        <v>0</v>
      </c>
      <c r="BB19" s="72" t="s">
        <v>343</v>
      </c>
      <c r="BC19" s="104">
        <f t="shared" si="10"/>
        <v>2.6774999999999998E-4</v>
      </c>
      <c r="BD19" s="115" t="s">
        <v>345</v>
      </c>
    </row>
    <row r="20" spans="1:56" s="5" customFormat="1" ht="30" x14ac:dyDescent="0.25">
      <c r="A20" s="19">
        <v>17</v>
      </c>
      <c r="B20" s="9" t="s">
        <v>43</v>
      </c>
      <c r="C20" s="9" t="s">
        <v>86</v>
      </c>
      <c r="D20" s="15" t="s">
        <v>87</v>
      </c>
      <c r="E20" s="19" t="s">
        <v>145</v>
      </c>
      <c r="F20" s="6">
        <v>2</v>
      </c>
      <c r="G20" s="6">
        <v>72</v>
      </c>
      <c r="H20" s="6" t="s">
        <v>117</v>
      </c>
      <c r="I20" s="4" t="s">
        <v>118</v>
      </c>
      <c r="J20" s="6" t="s">
        <v>119</v>
      </c>
      <c r="K20" s="21">
        <v>3</v>
      </c>
      <c r="L20" s="11" t="s">
        <v>136</v>
      </c>
      <c r="M20" s="6" t="s">
        <v>162</v>
      </c>
      <c r="N20" s="6" t="s">
        <v>163</v>
      </c>
      <c r="O20" s="6" t="s">
        <v>149</v>
      </c>
      <c r="P20" s="6">
        <v>2003</v>
      </c>
      <c r="Q20" s="4" t="s">
        <v>150</v>
      </c>
      <c r="R20" s="4" t="s">
        <v>125</v>
      </c>
      <c r="S20" s="4" t="s">
        <v>126</v>
      </c>
      <c r="T20" s="10" t="s">
        <v>134</v>
      </c>
      <c r="U20" s="25" t="s">
        <v>176</v>
      </c>
      <c r="V20" s="6" t="s">
        <v>129</v>
      </c>
      <c r="W20" s="6" t="s">
        <v>130</v>
      </c>
      <c r="X20" s="6" t="s">
        <v>0</v>
      </c>
      <c r="Y20" s="6" t="s">
        <v>0</v>
      </c>
      <c r="Z20" s="6" t="s">
        <v>0</v>
      </c>
      <c r="AA20" s="6" t="s">
        <v>196</v>
      </c>
      <c r="AB20" s="21" t="s">
        <v>137</v>
      </c>
      <c r="AC20" s="28">
        <v>1</v>
      </c>
      <c r="AD20" s="25">
        <v>0.5</v>
      </c>
      <c r="AE20" s="6">
        <v>0.05</v>
      </c>
      <c r="AF20" s="6">
        <v>0</v>
      </c>
      <c r="AG20" s="6">
        <v>0.5</v>
      </c>
      <c r="AH20" s="68">
        <f t="shared" si="0"/>
        <v>0.76249999999999996</v>
      </c>
      <c r="AI20" s="69">
        <f t="shared" si="1"/>
        <v>76.25</v>
      </c>
      <c r="AJ20" s="78" t="s">
        <v>306</v>
      </c>
      <c r="AK20" s="125">
        <f t="shared" si="11"/>
        <v>0.41992092232853029</v>
      </c>
      <c r="AL20" s="19">
        <v>0.1</v>
      </c>
      <c r="AM20" s="9">
        <v>0.1</v>
      </c>
      <c r="AN20" s="9">
        <v>0</v>
      </c>
      <c r="AO20" s="9">
        <f t="shared" si="2"/>
        <v>0.18999999999999995</v>
      </c>
      <c r="AP20" s="125">
        <f t="shared" si="3"/>
        <v>0.23750000000000004</v>
      </c>
      <c r="AQ20" s="129">
        <f t="shared" si="4"/>
        <v>0.31999999999999967</v>
      </c>
      <c r="AR20" s="73" t="s">
        <v>154</v>
      </c>
      <c r="AS20" s="97">
        <f t="shared" si="5"/>
        <v>0.58007907767146971</v>
      </c>
      <c r="AT20" s="95">
        <f t="shared" si="6"/>
        <v>5.3641733362237112E-2</v>
      </c>
      <c r="AU20" s="77" t="s">
        <v>330</v>
      </c>
      <c r="AV20" s="111">
        <v>4.4999999999999999E-4</v>
      </c>
      <c r="AW20" s="98">
        <f t="shared" si="7"/>
        <v>0.31999999999999967</v>
      </c>
      <c r="AX20" s="99">
        <f t="shared" si="8"/>
        <v>1.4399999999999984E-4</v>
      </c>
      <c r="AY20" s="72" t="s">
        <v>343</v>
      </c>
      <c r="AZ20" s="9">
        <f t="shared" si="9"/>
        <v>3</v>
      </c>
      <c r="BA20" s="69">
        <f t="shared" si="12"/>
        <v>4.3199999999999955E-4</v>
      </c>
      <c r="BB20" s="72" t="s">
        <v>343</v>
      </c>
      <c r="BC20" s="104">
        <f t="shared" si="10"/>
        <v>5.7599999999999936E-4</v>
      </c>
      <c r="BD20" s="115" t="s">
        <v>345</v>
      </c>
    </row>
    <row r="21" spans="1:56" s="5" customFormat="1" ht="30" x14ac:dyDescent="0.25">
      <c r="A21" s="19">
        <v>18</v>
      </c>
      <c r="B21" s="9" t="s">
        <v>44</v>
      </c>
      <c r="C21" s="9" t="s">
        <v>88</v>
      </c>
      <c r="D21" s="15" t="s">
        <v>89</v>
      </c>
      <c r="E21" s="19" t="s">
        <v>115</v>
      </c>
      <c r="F21" s="6">
        <v>1</v>
      </c>
      <c r="G21" s="6">
        <v>72</v>
      </c>
      <c r="H21" s="6" t="s">
        <v>117</v>
      </c>
      <c r="I21" s="4" t="s">
        <v>118</v>
      </c>
      <c r="J21" s="6" t="s">
        <v>152</v>
      </c>
      <c r="K21" s="21">
        <v>1</v>
      </c>
      <c r="L21" s="11" t="s">
        <v>136</v>
      </c>
      <c r="M21" s="6" t="s">
        <v>181</v>
      </c>
      <c r="N21" s="6" t="s">
        <v>122</v>
      </c>
      <c r="O21" s="6" t="s">
        <v>149</v>
      </c>
      <c r="P21" s="6">
        <v>2008</v>
      </c>
      <c r="Q21" s="4" t="s">
        <v>124</v>
      </c>
      <c r="R21" s="4" t="s">
        <v>154</v>
      </c>
      <c r="S21" s="4" t="s">
        <v>154</v>
      </c>
      <c r="T21" s="10" t="s">
        <v>297</v>
      </c>
      <c r="U21" s="25" t="s">
        <v>176</v>
      </c>
      <c r="V21" s="6" t="s">
        <v>129</v>
      </c>
      <c r="W21" s="6" t="s">
        <v>130</v>
      </c>
      <c r="X21" s="6" t="s">
        <v>0</v>
      </c>
      <c r="Y21" s="6" t="s">
        <v>0</v>
      </c>
      <c r="Z21" s="6" t="s">
        <v>0</v>
      </c>
      <c r="AA21" s="6" t="s">
        <v>196</v>
      </c>
      <c r="AB21" s="21" t="s">
        <v>164</v>
      </c>
      <c r="AC21" s="28">
        <v>1</v>
      </c>
      <c r="AD21" s="25">
        <v>0.5</v>
      </c>
      <c r="AE21" s="6">
        <v>0.05</v>
      </c>
      <c r="AF21" s="6">
        <v>0</v>
      </c>
      <c r="AG21" s="6">
        <v>0.5</v>
      </c>
      <c r="AH21" s="68">
        <f t="shared" si="0"/>
        <v>0.76249999999999996</v>
      </c>
      <c r="AI21" s="69">
        <f t="shared" si="1"/>
        <v>76.25</v>
      </c>
      <c r="AJ21" s="78" t="s">
        <v>306</v>
      </c>
      <c r="AK21" s="125">
        <f t="shared" si="11"/>
        <v>0.41992092232853029</v>
      </c>
      <c r="AL21" s="19">
        <v>0.1</v>
      </c>
      <c r="AM21" s="9">
        <v>0.1</v>
      </c>
      <c r="AN21" s="9">
        <v>0</v>
      </c>
      <c r="AO21" s="9">
        <f t="shared" si="2"/>
        <v>0.18999999999999995</v>
      </c>
      <c r="AP21" s="125">
        <f t="shared" si="3"/>
        <v>0.23750000000000004</v>
      </c>
      <c r="AQ21" s="129">
        <f t="shared" si="4"/>
        <v>0.31999999999999967</v>
      </c>
      <c r="AR21" s="73" t="s">
        <v>154</v>
      </c>
      <c r="AS21" s="97">
        <f t="shared" si="5"/>
        <v>0.58007907767146971</v>
      </c>
      <c r="AT21" s="95">
        <f t="shared" si="6"/>
        <v>5.3641733362237112E-2</v>
      </c>
      <c r="AU21" s="77" t="s">
        <v>330</v>
      </c>
      <c r="AV21" s="111">
        <v>4.4999999999999999E-4</v>
      </c>
      <c r="AW21" s="98">
        <f t="shared" si="7"/>
        <v>0.31999999999999967</v>
      </c>
      <c r="AX21" s="99">
        <f t="shared" si="8"/>
        <v>1.4399999999999984E-4</v>
      </c>
      <c r="AY21" s="72" t="s">
        <v>343</v>
      </c>
      <c r="AZ21" s="9">
        <f t="shared" si="9"/>
        <v>1</v>
      </c>
      <c r="BA21" s="69">
        <f t="shared" si="12"/>
        <v>1.4399999999999984E-4</v>
      </c>
      <c r="BB21" s="72" t="s">
        <v>343</v>
      </c>
      <c r="BC21" s="104">
        <f t="shared" si="10"/>
        <v>2.8799999999999968E-4</v>
      </c>
      <c r="BD21" s="115" t="s">
        <v>345</v>
      </c>
    </row>
    <row r="22" spans="1:56" s="5" customFormat="1" ht="30" x14ac:dyDescent="0.25">
      <c r="A22" s="19">
        <v>19</v>
      </c>
      <c r="B22" s="9" t="s">
        <v>45</v>
      </c>
      <c r="C22" s="9" t="s">
        <v>90</v>
      </c>
      <c r="D22" s="15" t="s">
        <v>81</v>
      </c>
      <c r="E22" s="19" t="s">
        <v>115</v>
      </c>
      <c r="F22" s="6">
        <v>1</v>
      </c>
      <c r="G22" s="6">
        <v>72</v>
      </c>
      <c r="H22" s="6" t="s">
        <v>117</v>
      </c>
      <c r="I22" s="4" t="s">
        <v>118</v>
      </c>
      <c r="J22" s="6" t="s">
        <v>165</v>
      </c>
      <c r="K22" s="21">
        <v>4</v>
      </c>
      <c r="L22" s="11" t="s">
        <v>166</v>
      </c>
      <c r="M22" s="6" t="s">
        <v>181</v>
      </c>
      <c r="N22" s="6" t="s">
        <v>159</v>
      </c>
      <c r="O22" s="6" t="s">
        <v>149</v>
      </c>
      <c r="P22" s="6" t="s">
        <v>179</v>
      </c>
      <c r="Q22" s="4" t="s">
        <v>161</v>
      </c>
      <c r="R22" s="4" t="s">
        <v>154</v>
      </c>
      <c r="S22" s="4" t="s">
        <v>154</v>
      </c>
      <c r="T22" s="10" t="s">
        <v>134</v>
      </c>
      <c r="U22" s="25" t="s">
        <v>176</v>
      </c>
      <c r="V22" s="6" t="s">
        <v>129</v>
      </c>
      <c r="W22" s="6" t="s">
        <v>130</v>
      </c>
      <c r="X22" s="6" t="s">
        <v>0</v>
      </c>
      <c r="Y22" s="6" t="s">
        <v>0</v>
      </c>
      <c r="Z22" s="6" t="s">
        <v>0</v>
      </c>
      <c r="AA22" s="6" t="s">
        <v>196</v>
      </c>
      <c r="AB22" s="21" t="s">
        <v>137</v>
      </c>
      <c r="AC22" s="28">
        <v>1</v>
      </c>
      <c r="AD22" s="25">
        <v>0.5</v>
      </c>
      <c r="AE22" s="6">
        <v>0.05</v>
      </c>
      <c r="AF22" s="6">
        <v>0</v>
      </c>
      <c r="AG22" s="6">
        <v>0.5</v>
      </c>
      <c r="AH22" s="68">
        <f t="shared" si="0"/>
        <v>0.76249999999999996</v>
      </c>
      <c r="AI22" s="69">
        <f t="shared" si="1"/>
        <v>76.25</v>
      </c>
      <c r="AJ22" s="78" t="s">
        <v>306</v>
      </c>
      <c r="AK22" s="125">
        <f t="shared" si="11"/>
        <v>0.41992092232853029</v>
      </c>
      <c r="AL22" s="19">
        <v>0.1</v>
      </c>
      <c r="AM22" s="9">
        <v>0.1</v>
      </c>
      <c r="AN22" s="9">
        <v>0</v>
      </c>
      <c r="AO22" s="9">
        <f t="shared" si="2"/>
        <v>0.18999999999999995</v>
      </c>
      <c r="AP22" s="125">
        <f t="shared" si="3"/>
        <v>0.23750000000000004</v>
      </c>
      <c r="AQ22" s="129">
        <f t="shared" si="4"/>
        <v>0.31999999999999967</v>
      </c>
      <c r="AR22" s="73" t="s">
        <v>154</v>
      </c>
      <c r="AS22" s="97">
        <f t="shared" si="5"/>
        <v>0.58007907767146971</v>
      </c>
      <c r="AT22" s="95">
        <f t="shared" si="6"/>
        <v>5.3641733362237112E-2</v>
      </c>
      <c r="AU22" s="77" t="s">
        <v>330</v>
      </c>
      <c r="AV22" s="111">
        <v>4.4999999999999999E-4</v>
      </c>
      <c r="AW22" s="98">
        <f t="shared" si="7"/>
        <v>0.31999999999999967</v>
      </c>
      <c r="AX22" s="99">
        <f t="shared" si="8"/>
        <v>1.4399999999999984E-4</v>
      </c>
      <c r="AY22" s="72" t="s">
        <v>343</v>
      </c>
      <c r="AZ22" s="9">
        <f t="shared" si="9"/>
        <v>4</v>
      </c>
      <c r="BA22" s="69">
        <f t="shared" si="12"/>
        <v>5.7599999999999936E-4</v>
      </c>
      <c r="BB22" s="72" t="s">
        <v>343</v>
      </c>
      <c r="BC22" s="104">
        <f t="shared" si="10"/>
        <v>7.1999999999999918E-4</v>
      </c>
      <c r="BD22" s="115" t="s">
        <v>345</v>
      </c>
    </row>
    <row r="23" spans="1:56" s="5" customFormat="1" ht="60" customHeight="1" x14ac:dyDescent="0.25">
      <c r="A23" s="19">
        <v>20</v>
      </c>
      <c r="B23" s="9" t="s">
        <v>46</v>
      </c>
      <c r="C23" s="9" t="s">
        <v>91</v>
      </c>
      <c r="D23" s="15" t="s">
        <v>92</v>
      </c>
      <c r="E23" s="19" t="s">
        <v>115</v>
      </c>
      <c r="F23" s="6">
        <v>3</v>
      </c>
      <c r="G23" s="6">
        <v>72</v>
      </c>
      <c r="H23" s="6" t="s">
        <v>117</v>
      </c>
      <c r="I23" s="4" t="s">
        <v>118</v>
      </c>
      <c r="J23" s="6" t="s">
        <v>119</v>
      </c>
      <c r="K23" s="21">
        <v>3</v>
      </c>
      <c r="L23" s="11" t="s">
        <v>166</v>
      </c>
      <c r="M23" s="6" t="s">
        <v>162</v>
      </c>
      <c r="N23" s="6" t="s">
        <v>163</v>
      </c>
      <c r="O23" s="6" t="s">
        <v>149</v>
      </c>
      <c r="P23" s="6" t="s">
        <v>179</v>
      </c>
      <c r="Q23" s="4" t="s">
        <v>150</v>
      </c>
      <c r="R23" s="4" t="s">
        <v>154</v>
      </c>
      <c r="S23" s="4" t="s">
        <v>154</v>
      </c>
      <c r="T23" s="10" t="s">
        <v>185</v>
      </c>
      <c r="U23" s="25" t="s">
        <v>176</v>
      </c>
      <c r="V23" s="6" t="s">
        <v>129</v>
      </c>
      <c r="W23" s="6" t="s">
        <v>130</v>
      </c>
      <c r="X23" s="6" t="s">
        <v>0</v>
      </c>
      <c r="Y23" s="6" t="s">
        <v>0</v>
      </c>
      <c r="Z23" s="6" t="s">
        <v>0</v>
      </c>
      <c r="AA23" s="6" t="s">
        <v>196</v>
      </c>
      <c r="AB23" s="21" t="s">
        <v>137</v>
      </c>
      <c r="AC23" s="28">
        <v>1</v>
      </c>
      <c r="AD23" s="25">
        <v>0.7</v>
      </c>
      <c r="AE23" s="6">
        <v>0.6</v>
      </c>
      <c r="AF23" s="6">
        <v>0</v>
      </c>
      <c r="AG23" s="6">
        <v>0.5</v>
      </c>
      <c r="AH23" s="68">
        <f t="shared" si="0"/>
        <v>0.94</v>
      </c>
      <c r="AI23" s="69">
        <f t="shared" si="1"/>
        <v>94</v>
      </c>
      <c r="AJ23" s="76" t="s">
        <v>307</v>
      </c>
      <c r="AK23" s="125">
        <f t="shared" si="11"/>
        <v>0.82036879330444146</v>
      </c>
      <c r="AL23" s="19">
        <v>0.1</v>
      </c>
      <c r="AM23" s="9">
        <v>0.1</v>
      </c>
      <c r="AN23" s="9">
        <v>0</v>
      </c>
      <c r="AO23" s="9">
        <f t="shared" si="2"/>
        <v>0.18999999999999995</v>
      </c>
      <c r="AP23" s="125">
        <f t="shared" si="3"/>
        <v>6.0000000000000053E-2</v>
      </c>
      <c r="AQ23" s="129">
        <f t="shared" si="4"/>
        <v>0.62873472159348109</v>
      </c>
      <c r="AR23" s="71" t="s">
        <v>143</v>
      </c>
      <c r="AS23" s="97">
        <f t="shared" si="5"/>
        <v>0.17963120669555854</v>
      </c>
      <c r="AT23" s="95">
        <f t="shared" si="6"/>
        <v>0.62873472159348109</v>
      </c>
      <c r="AU23" s="76" t="s">
        <v>143</v>
      </c>
      <c r="AV23" s="111">
        <v>4.4999999999999999E-4</v>
      </c>
      <c r="AW23" s="98">
        <f t="shared" si="7"/>
        <v>0.62873472159348109</v>
      </c>
      <c r="AX23" s="99">
        <f t="shared" si="8"/>
        <v>2.8293062471706647E-4</v>
      </c>
      <c r="AY23" s="73" t="s">
        <v>342</v>
      </c>
      <c r="AZ23" s="9">
        <f t="shared" si="9"/>
        <v>3</v>
      </c>
      <c r="BA23" s="69">
        <f t="shared" si="12"/>
        <v>8.4879187415119934E-4</v>
      </c>
      <c r="BB23" s="72" t="s">
        <v>343</v>
      </c>
      <c r="BC23" s="104">
        <f t="shared" si="10"/>
        <v>1.1317224988682659E-3</v>
      </c>
      <c r="BD23" s="112" t="s">
        <v>343</v>
      </c>
    </row>
    <row r="24" spans="1:56" s="5" customFormat="1" ht="60" x14ac:dyDescent="0.25">
      <c r="A24" s="19">
        <v>21</v>
      </c>
      <c r="B24" s="9" t="s">
        <v>47</v>
      </c>
      <c r="C24" s="9" t="s">
        <v>93</v>
      </c>
      <c r="D24" s="15" t="s">
        <v>94</v>
      </c>
      <c r="E24" s="19" t="s">
        <v>115</v>
      </c>
      <c r="F24" s="6">
        <v>3</v>
      </c>
      <c r="G24" s="6">
        <v>72</v>
      </c>
      <c r="H24" s="6" t="s">
        <v>167</v>
      </c>
      <c r="I24" s="4" t="s">
        <v>118</v>
      </c>
      <c r="J24" s="6" t="s">
        <v>119</v>
      </c>
      <c r="K24" s="21">
        <v>8</v>
      </c>
      <c r="L24" s="11" t="s">
        <v>136</v>
      </c>
      <c r="M24" s="6" t="s">
        <v>121</v>
      </c>
      <c r="N24" s="6" t="s">
        <v>168</v>
      </c>
      <c r="O24" s="6" t="s">
        <v>149</v>
      </c>
      <c r="P24" s="6">
        <v>2006</v>
      </c>
      <c r="Q24" s="4" t="s">
        <v>150</v>
      </c>
      <c r="R24" s="4" t="s">
        <v>125</v>
      </c>
      <c r="S24" s="4" t="s">
        <v>126</v>
      </c>
      <c r="T24" s="10" t="s">
        <v>134</v>
      </c>
      <c r="U24" s="25" t="s">
        <v>128</v>
      </c>
      <c r="V24" s="6" t="s">
        <v>129</v>
      </c>
      <c r="W24" s="6" t="s">
        <v>130</v>
      </c>
      <c r="X24" s="6" t="s">
        <v>0</v>
      </c>
      <c r="Y24" s="6" t="s">
        <v>0</v>
      </c>
      <c r="Z24" s="6" t="s">
        <v>0</v>
      </c>
      <c r="AA24" s="6" t="s">
        <v>196</v>
      </c>
      <c r="AB24" s="21" t="s">
        <v>137</v>
      </c>
      <c r="AC24" s="28">
        <v>1</v>
      </c>
      <c r="AD24" s="25">
        <v>0.5</v>
      </c>
      <c r="AE24" s="6">
        <v>0.6</v>
      </c>
      <c r="AF24" s="6">
        <v>0.25</v>
      </c>
      <c r="AG24" s="6">
        <v>0.5</v>
      </c>
      <c r="AH24" s="68">
        <f t="shared" si="0"/>
        <v>0.92500000000000004</v>
      </c>
      <c r="AI24" s="69">
        <f t="shared" si="1"/>
        <v>92.5</v>
      </c>
      <c r="AJ24" s="76" t="s">
        <v>307</v>
      </c>
      <c r="AK24" s="125">
        <f t="shared" si="11"/>
        <v>0.77920825485013756</v>
      </c>
      <c r="AL24" s="19">
        <v>0.1</v>
      </c>
      <c r="AM24" s="9">
        <v>0.1</v>
      </c>
      <c r="AN24" s="9">
        <v>0</v>
      </c>
      <c r="AO24" s="9">
        <f t="shared" si="2"/>
        <v>0.18999999999999995</v>
      </c>
      <c r="AP24" s="125">
        <f t="shared" si="3"/>
        <v>7.4999999999999956E-2</v>
      </c>
      <c r="AQ24" s="129">
        <f t="shared" si="4"/>
        <v>0.61659605551497432</v>
      </c>
      <c r="AR24" s="71" t="s">
        <v>143</v>
      </c>
      <c r="AS24" s="97">
        <f t="shared" si="5"/>
        <v>0.22079174514986244</v>
      </c>
      <c r="AT24" s="95">
        <f t="shared" si="6"/>
        <v>0.37026404547074637</v>
      </c>
      <c r="AU24" s="78" t="s">
        <v>154</v>
      </c>
      <c r="AV24" s="111">
        <v>4.4999999999999999E-4</v>
      </c>
      <c r="AW24" s="98">
        <f t="shared" si="7"/>
        <v>0.61659605551497432</v>
      </c>
      <c r="AX24" s="99">
        <f t="shared" si="8"/>
        <v>2.7746822498173843E-4</v>
      </c>
      <c r="AY24" s="73" t="s">
        <v>342</v>
      </c>
      <c r="AZ24" s="9">
        <f t="shared" si="9"/>
        <v>8</v>
      </c>
      <c r="BA24" s="69">
        <f t="shared" si="12"/>
        <v>2.2197457998539075E-3</v>
      </c>
      <c r="BB24" s="72" t="s">
        <v>343</v>
      </c>
      <c r="BC24" s="104">
        <f t="shared" si="10"/>
        <v>2.4972140248356459E-3</v>
      </c>
      <c r="BD24" s="112" t="s">
        <v>343</v>
      </c>
    </row>
    <row r="25" spans="1:56" s="5" customFormat="1" ht="30" x14ac:dyDescent="0.25">
      <c r="A25" s="19">
        <v>22</v>
      </c>
      <c r="B25" s="9" t="s">
        <v>48</v>
      </c>
      <c r="C25" s="9" t="s">
        <v>97</v>
      </c>
      <c r="D25" s="15" t="s">
        <v>98</v>
      </c>
      <c r="E25" s="19" t="s">
        <v>145</v>
      </c>
      <c r="F25" s="6">
        <v>2</v>
      </c>
      <c r="G25" s="6">
        <v>36</v>
      </c>
      <c r="H25" s="6" t="s">
        <v>167</v>
      </c>
      <c r="I25" s="4" t="s">
        <v>118</v>
      </c>
      <c r="J25" s="6" t="s">
        <v>165</v>
      </c>
      <c r="K25" s="21">
        <v>2</v>
      </c>
      <c r="L25" s="11" t="s">
        <v>158</v>
      </c>
      <c r="M25" s="6" t="s">
        <v>162</v>
      </c>
      <c r="N25" s="6" t="s">
        <v>159</v>
      </c>
      <c r="O25" s="6" t="s">
        <v>149</v>
      </c>
      <c r="P25" s="6">
        <v>2002</v>
      </c>
      <c r="Q25" s="4" t="s">
        <v>124</v>
      </c>
      <c r="R25" s="4" t="s">
        <v>125</v>
      </c>
      <c r="S25" s="4" t="s">
        <v>126</v>
      </c>
      <c r="T25" s="10" t="s">
        <v>134</v>
      </c>
      <c r="U25" s="25" t="s">
        <v>128</v>
      </c>
      <c r="V25" s="6" t="s">
        <v>129</v>
      </c>
      <c r="W25" s="6" t="s">
        <v>130</v>
      </c>
      <c r="X25" s="40" t="s">
        <v>2</v>
      </c>
      <c r="Y25" s="6" t="s">
        <v>0</v>
      </c>
      <c r="Z25" s="6" t="s">
        <v>0</v>
      </c>
      <c r="AA25" s="6" t="s">
        <v>196</v>
      </c>
      <c r="AB25" s="21" t="s">
        <v>137</v>
      </c>
      <c r="AC25" s="28">
        <v>1</v>
      </c>
      <c r="AD25" s="25">
        <v>0.5</v>
      </c>
      <c r="AE25" s="6">
        <v>0.6</v>
      </c>
      <c r="AF25" s="6">
        <v>0.25</v>
      </c>
      <c r="AG25" s="6">
        <v>0.3</v>
      </c>
      <c r="AH25" s="68">
        <f t="shared" si="0"/>
        <v>0.89500000000000002</v>
      </c>
      <c r="AI25" s="69">
        <f t="shared" si="1"/>
        <v>89.5</v>
      </c>
      <c r="AJ25" s="75" t="s">
        <v>143</v>
      </c>
      <c r="AK25" s="125">
        <f t="shared" si="11"/>
        <v>0.70118676965305315</v>
      </c>
      <c r="AL25" s="19">
        <v>0.1</v>
      </c>
      <c r="AM25" s="9">
        <v>0.1</v>
      </c>
      <c r="AN25" s="9">
        <v>0</v>
      </c>
      <c r="AO25" s="9">
        <f t="shared" si="2"/>
        <v>0.18999999999999995</v>
      </c>
      <c r="AP25" s="125">
        <f t="shared" si="3"/>
        <v>0.10499999999999998</v>
      </c>
      <c r="AQ25" s="129">
        <f t="shared" si="4"/>
        <v>0.59046222028026585</v>
      </c>
      <c r="AR25" s="71" t="s">
        <v>143</v>
      </c>
      <c r="AS25" s="97">
        <f t="shared" si="5"/>
        <v>0.29881323034694685</v>
      </c>
      <c r="AT25" s="95">
        <f t="shared" si="6"/>
        <v>0.20215177600884274</v>
      </c>
      <c r="AU25" s="77" t="s">
        <v>330</v>
      </c>
      <c r="AV25" s="111">
        <v>4.4999999999999999E-4</v>
      </c>
      <c r="AW25" s="98">
        <f t="shared" si="7"/>
        <v>0.59046222028026585</v>
      </c>
      <c r="AX25" s="99">
        <f t="shared" si="8"/>
        <v>2.6570799912611963E-4</v>
      </c>
      <c r="AY25" s="73" t="s">
        <v>342</v>
      </c>
      <c r="AZ25" s="9">
        <f t="shared" si="9"/>
        <v>2</v>
      </c>
      <c r="BA25" s="69">
        <f t="shared" si="12"/>
        <v>5.3141599825223926E-4</v>
      </c>
      <c r="BB25" s="72" t="s">
        <v>343</v>
      </c>
      <c r="BC25" s="104">
        <f t="shared" si="10"/>
        <v>7.9712399737835889E-4</v>
      </c>
      <c r="BD25" s="115" t="s">
        <v>345</v>
      </c>
    </row>
    <row r="26" spans="1:56" s="5" customFormat="1" ht="30" x14ac:dyDescent="0.25">
      <c r="A26" s="19">
        <v>23</v>
      </c>
      <c r="B26" s="9" t="s">
        <v>50</v>
      </c>
      <c r="C26" s="9" t="s">
        <v>99</v>
      </c>
      <c r="D26" s="15" t="s">
        <v>100</v>
      </c>
      <c r="E26" s="19" t="s">
        <v>115</v>
      </c>
      <c r="F26" s="9">
        <v>2</v>
      </c>
      <c r="G26" s="9">
        <v>36</v>
      </c>
      <c r="H26" s="9" t="s">
        <v>117</v>
      </c>
      <c r="I26" s="3" t="s">
        <v>118</v>
      </c>
      <c r="J26" s="6" t="s">
        <v>165</v>
      </c>
      <c r="K26" s="20">
        <v>2</v>
      </c>
      <c r="L26" s="11" t="s">
        <v>158</v>
      </c>
      <c r="M26" s="6" t="s">
        <v>162</v>
      </c>
      <c r="N26" s="6" t="s">
        <v>122</v>
      </c>
      <c r="O26" s="9" t="s">
        <v>183</v>
      </c>
      <c r="P26" s="6">
        <v>2024</v>
      </c>
      <c r="Q26" s="4" t="s">
        <v>150</v>
      </c>
      <c r="R26" s="4" t="s">
        <v>125</v>
      </c>
      <c r="S26" s="4" t="s">
        <v>126</v>
      </c>
      <c r="T26" s="10" t="s">
        <v>134</v>
      </c>
      <c r="U26" s="25" t="s">
        <v>128</v>
      </c>
      <c r="V26" s="6" t="s">
        <v>169</v>
      </c>
      <c r="W26" s="6" t="s">
        <v>130</v>
      </c>
      <c r="X26" s="6" t="s">
        <v>0</v>
      </c>
      <c r="Y26" s="6" t="s">
        <v>0</v>
      </c>
      <c r="Z26" s="6" t="s">
        <v>0</v>
      </c>
      <c r="AA26" s="6" t="s">
        <v>196</v>
      </c>
      <c r="AB26" s="21" t="s">
        <v>137</v>
      </c>
      <c r="AC26" s="28">
        <v>1</v>
      </c>
      <c r="AD26" s="25">
        <v>0.5</v>
      </c>
      <c r="AE26" s="6">
        <v>0.6</v>
      </c>
      <c r="AF26" s="6">
        <v>0.25</v>
      </c>
      <c r="AG26" s="6">
        <v>0.7</v>
      </c>
      <c r="AH26" s="68">
        <f t="shared" si="0"/>
        <v>0.95499999999999996</v>
      </c>
      <c r="AI26" s="69">
        <f t="shared" si="1"/>
        <v>95.5</v>
      </c>
      <c r="AJ26" s="76" t="s">
        <v>307</v>
      </c>
      <c r="AK26" s="125">
        <f t="shared" si="11"/>
        <v>0.8629999867911009</v>
      </c>
      <c r="AL26" s="19">
        <v>0.1</v>
      </c>
      <c r="AM26" s="9">
        <v>0.1</v>
      </c>
      <c r="AN26" s="9">
        <v>0</v>
      </c>
      <c r="AO26" s="9">
        <f t="shared" si="2"/>
        <v>0.18999999999999995</v>
      </c>
      <c r="AP26" s="125">
        <f t="shared" si="3"/>
        <v>4.500000000000004E-2</v>
      </c>
      <c r="AQ26" s="129">
        <f t="shared" si="4"/>
        <v>0.64030591266686754</v>
      </c>
      <c r="AR26" s="71" t="s">
        <v>143</v>
      </c>
      <c r="AS26" s="97">
        <f t="shared" si="5"/>
        <v>0.1370000132088991</v>
      </c>
      <c r="AT26" s="95">
        <f t="shared" si="6"/>
        <v>0.64030591266686754</v>
      </c>
      <c r="AU26" s="76" t="s">
        <v>143</v>
      </c>
      <c r="AV26" s="111">
        <v>4.4999999999999999E-4</v>
      </c>
      <c r="AW26" s="98">
        <f t="shared" si="7"/>
        <v>0.64030591266686754</v>
      </c>
      <c r="AX26" s="99">
        <f t="shared" si="8"/>
        <v>2.8813766070009039E-4</v>
      </c>
      <c r="AY26" s="73" t="s">
        <v>342</v>
      </c>
      <c r="AZ26" s="9">
        <f t="shared" si="9"/>
        <v>2</v>
      </c>
      <c r="BA26" s="69">
        <f t="shared" si="12"/>
        <v>5.7627532140018078E-4</v>
      </c>
      <c r="BB26" s="72" t="s">
        <v>343</v>
      </c>
      <c r="BC26" s="104">
        <f t="shared" si="10"/>
        <v>8.6441298210027117E-4</v>
      </c>
      <c r="BD26" s="115" t="s">
        <v>345</v>
      </c>
    </row>
    <row r="27" spans="1:56" s="5" customFormat="1" ht="30" x14ac:dyDescent="0.25">
      <c r="A27" s="19">
        <v>24</v>
      </c>
      <c r="B27" s="9" t="s">
        <v>49</v>
      </c>
      <c r="C27" s="9" t="s">
        <v>101</v>
      </c>
      <c r="D27" s="15" t="s">
        <v>102</v>
      </c>
      <c r="E27" s="19" t="s">
        <v>115</v>
      </c>
      <c r="F27" s="9">
        <v>1</v>
      </c>
      <c r="G27" s="9">
        <v>72</v>
      </c>
      <c r="H27" s="9" t="s">
        <v>117</v>
      </c>
      <c r="I27" s="3" t="s">
        <v>118</v>
      </c>
      <c r="J27" s="6" t="s">
        <v>119</v>
      </c>
      <c r="K27" s="20">
        <v>4</v>
      </c>
      <c r="L27" s="11" t="s">
        <v>158</v>
      </c>
      <c r="M27" s="6" t="s">
        <v>181</v>
      </c>
      <c r="N27" s="6" t="s">
        <v>159</v>
      </c>
      <c r="O27" s="6" t="s">
        <v>149</v>
      </c>
      <c r="P27" s="6">
        <v>2004</v>
      </c>
      <c r="Q27" s="4" t="s">
        <v>124</v>
      </c>
      <c r="R27" s="4" t="s">
        <v>125</v>
      </c>
      <c r="S27" s="4" t="s">
        <v>126</v>
      </c>
      <c r="T27" s="10" t="s">
        <v>134</v>
      </c>
      <c r="U27" s="25" t="s">
        <v>176</v>
      </c>
      <c r="V27" s="6" t="s">
        <v>170</v>
      </c>
      <c r="W27" s="6" t="s">
        <v>130</v>
      </c>
      <c r="X27" s="6" t="s">
        <v>0</v>
      </c>
      <c r="Y27" s="6" t="s">
        <v>0</v>
      </c>
      <c r="Z27" s="6" t="s">
        <v>0</v>
      </c>
      <c r="AA27" s="6" t="s">
        <v>196</v>
      </c>
      <c r="AB27" s="21" t="s">
        <v>137</v>
      </c>
      <c r="AC27" s="28">
        <v>1</v>
      </c>
      <c r="AD27" s="25">
        <v>0.5</v>
      </c>
      <c r="AE27" s="6">
        <v>0.05</v>
      </c>
      <c r="AF27" s="6">
        <v>0</v>
      </c>
      <c r="AG27" s="6">
        <v>0.5</v>
      </c>
      <c r="AH27" s="68">
        <f t="shared" si="0"/>
        <v>0.76249999999999996</v>
      </c>
      <c r="AI27" s="69">
        <f t="shared" si="1"/>
        <v>76.25</v>
      </c>
      <c r="AJ27" s="78" t="s">
        <v>306</v>
      </c>
      <c r="AK27" s="125">
        <f t="shared" si="11"/>
        <v>0.41992092232853029</v>
      </c>
      <c r="AL27" s="19">
        <v>0.1</v>
      </c>
      <c r="AM27" s="9">
        <v>0.1</v>
      </c>
      <c r="AN27" s="9">
        <v>0</v>
      </c>
      <c r="AO27" s="9">
        <f t="shared" si="2"/>
        <v>0.18999999999999995</v>
      </c>
      <c r="AP27" s="125">
        <f t="shared" si="3"/>
        <v>0.23750000000000004</v>
      </c>
      <c r="AQ27" s="129">
        <f t="shared" si="4"/>
        <v>0.31999999999999967</v>
      </c>
      <c r="AR27" s="73" t="s">
        <v>154</v>
      </c>
      <c r="AS27" s="97">
        <f t="shared" si="5"/>
        <v>0.58007907767146971</v>
      </c>
      <c r="AT27" s="95">
        <f t="shared" si="6"/>
        <v>5.3641733362237112E-2</v>
      </c>
      <c r="AU27" s="77" t="s">
        <v>330</v>
      </c>
      <c r="AV27" s="111">
        <v>4.4999999999999999E-4</v>
      </c>
      <c r="AW27" s="98">
        <f t="shared" si="7"/>
        <v>0.31999999999999967</v>
      </c>
      <c r="AX27" s="99">
        <f t="shared" si="8"/>
        <v>1.4399999999999984E-4</v>
      </c>
      <c r="AY27" s="72" t="s">
        <v>343</v>
      </c>
      <c r="AZ27" s="9">
        <f t="shared" si="9"/>
        <v>4</v>
      </c>
      <c r="BA27" s="69">
        <f t="shared" si="12"/>
        <v>5.7599999999999936E-4</v>
      </c>
      <c r="BB27" s="72" t="s">
        <v>343</v>
      </c>
      <c r="BC27" s="104">
        <f t="shared" si="10"/>
        <v>7.1999999999999918E-4</v>
      </c>
      <c r="BD27" s="115" t="s">
        <v>345</v>
      </c>
    </row>
    <row r="28" spans="1:56" s="5" customFormat="1" ht="60" x14ac:dyDescent="0.25">
      <c r="A28" s="19">
        <v>25</v>
      </c>
      <c r="B28" s="9" t="s">
        <v>51</v>
      </c>
      <c r="C28" s="9" t="s">
        <v>103</v>
      </c>
      <c r="D28" s="15" t="s">
        <v>104</v>
      </c>
      <c r="E28" s="19" t="s">
        <v>115</v>
      </c>
      <c r="F28" s="9">
        <v>1</v>
      </c>
      <c r="G28" s="9">
        <v>82.5</v>
      </c>
      <c r="H28" s="9" t="s">
        <v>117</v>
      </c>
      <c r="I28" s="3" t="s">
        <v>118</v>
      </c>
      <c r="J28" s="6" t="s">
        <v>119</v>
      </c>
      <c r="K28" s="20">
        <v>0</v>
      </c>
      <c r="L28" s="11" t="s">
        <v>171</v>
      </c>
      <c r="M28" s="6" t="s">
        <v>181</v>
      </c>
      <c r="N28" s="6" t="s">
        <v>172</v>
      </c>
      <c r="O28" s="6" t="s">
        <v>149</v>
      </c>
      <c r="P28" s="6" t="s">
        <v>140</v>
      </c>
      <c r="Q28" s="4" t="s">
        <v>160</v>
      </c>
      <c r="R28" s="4" t="s">
        <v>126</v>
      </c>
      <c r="S28" s="4" t="s">
        <v>126</v>
      </c>
      <c r="T28" s="10" t="s">
        <v>134</v>
      </c>
      <c r="U28" s="25" t="s">
        <v>176</v>
      </c>
      <c r="V28" s="6" t="s">
        <v>129</v>
      </c>
      <c r="W28" s="6" t="s">
        <v>130</v>
      </c>
      <c r="X28" s="6" t="s">
        <v>0</v>
      </c>
      <c r="Y28" s="6" t="s">
        <v>0</v>
      </c>
      <c r="Z28" s="6" t="s">
        <v>0</v>
      </c>
      <c r="AA28" s="6" t="s">
        <v>153</v>
      </c>
      <c r="AB28" s="21" t="s">
        <v>137</v>
      </c>
      <c r="AC28" s="28">
        <v>1</v>
      </c>
      <c r="AD28" s="25">
        <v>0.5</v>
      </c>
      <c r="AE28" s="6">
        <v>0.05</v>
      </c>
      <c r="AF28" s="6">
        <v>0</v>
      </c>
      <c r="AG28" s="6">
        <v>0.5</v>
      </c>
      <c r="AH28" s="68">
        <f t="shared" si="0"/>
        <v>0.76249999999999996</v>
      </c>
      <c r="AI28" s="69">
        <f t="shared" si="1"/>
        <v>76.25</v>
      </c>
      <c r="AJ28" s="78" t="s">
        <v>306</v>
      </c>
      <c r="AK28" s="125">
        <f t="shared" si="11"/>
        <v>0.41992092232853029</v>
      </c>
      <c r="AL28" s="19">
        <v>0.1</v>
      </c>
      <c r="AM28" s="9">
        <v>0.1</v>
      </c>
      <c r="AN28" s="9">
        <v>0</v>
      </c>
      <c r="AO28" s="9">
        <f t="shared" si="2"/>
        <v>0.18999999999999995</v>
      </c>
      <c r="AP28" s="125">
        <f t="shared" si="3"/>
        <v>0.23750000000000004</v>
      </c>
      <c r="AQ28" s="129">
        <f t="shared" si="4"/>
        <v>0.31999999999999967</v>
      </c>
      <c r="AR28" s="73" t="s">
        <v>154</v>
      </c>
      <c r="AS28" s="97">
        <f t="shared" si="5"/>
        <v>0.58007907767146971</v>
      </c>
      <c r="AT28" s="95">
        <f t="shared" si="6"/>
        <v>5.3641733362237112E-2</v>
      </c>
      <c r="AU28" s="77" t="s">
        <v>330</v>
      </c>
      <c r="AV28" s="111">
        <v>4.4999999999999999E-4</v>
      </c>
      <c r="AW28" s="98">
        <f t="shared" si="7"/>
        <v>0.31999999999999967</v>
      </c>
      <c r="AX28" s="99">
        <f t="shared" si="8"/>
        <v>1.4399999999999984E-4</v>
      </c>
      <c r="AY28" s="72" t="s">
        <v>343</v>
      </c>
      <c r="AZ28" s="9">
        <v>0</v>
      </c>
      <c r="BA28" s="69">
        <f t="shared" si="12"/>
        <v>0</v>
      </c>
      <c r="BB28" s="72" t="s">
        <v>343</v>
      </c>
      <c r="BC28" s="104">
        <f t="shared" si="10"/>
        <v>1.4399999999999984E-4</v>
      </c>
      <c r="BD28" s="115" t="s">
        <v>345</v>
      </c>
    </row>
    <row r="29" spans="1:56" s="5" customFormat="1" ht="30" x14ac:dyDescent="0.25">
      <c r="A29" s="19">
        <v>26</v>
      </c>
      <c r="B29" s="9" t="s">
        <v>52</v>
      </c>
      <c r="C29" s="9" t="s">
        <v>105</v>
      </c>
      <c r="D29" s="15" t="s">
        <v>106</v>
      </c>
      <c r="E29" s="19" t="s">
        <v>145</v>
      </c>
      <c r="F29" s="9">
        <v>2</v>
      </c>
      <c r="G29" s="9">
        <v>72</v>
      </c>
      <c r="H29" s="9" t="s">
        <v>117</v>
      </c>
      <c r="I29" s="3" t="s">
        <v>118</v>
      </c>
      <c r="J29" s="6" t="s">
        <v>119</v>
      </c>
      <c r="K29" s="20">
        <v>6</v>
      </c>
      <c r="L29" s="17" t="s">
        <v>173</v>
      </c>
      <c r="M29" s="6" t="s">
        <v>121</v>
      </c>
      <c r="N29" s="6" t="s">
        <v>159</v>
      </c>
      <c r="O29" s="6" t="s">
        <v>149</v>
      </c>
      <c r="P29" s="6" t="s">
        <v>174</v>
      </c>
      <c r="Q29" s="4" t="s">
        <v>124</v>
      </c>
      <c r="R29" s="4" t="s">
        <v>125</v>
      </c>
      <c r="S29" s="4" t="s">
        <v>126</v>
      </c>
      <c r="T29" s="10" t="s">
        <v>134</v>
      </c>
      <c r="U29" s="25" t="s">
        <v>176</v>
      </c>
      <c r="V29" s="6" t="s">
        <v>129</v>
      </c>
      <c r="W29" s="6" t="s">
        <v>175</v>
      </c>
      <c r="X29" s="6" t="s">
        <v>0</v>
      </c>
      <c r="Y29" s="6" t="s">
        <v>0</v>
      </c>
      <c r="Z29" s="6" t="s">
        <v>0</v>
      </c>
      <c r="AA29" s="6" t="s">
        <v>196</v>
      </c>
      <c r="AB29" s="21" t="s">
        <v>137</v>
      </c>
      <c r="AC29" s="28">
        <v>1</v>
      </c>
      <c r="AD29" s="25">
        <v>0.5</v>
      </c>
      <c r="AE29" s="6">
        <v>0.6</v>
      </c>
      <c r="AF29" s="6">
        <v>0</v>
      </c>
      <c r="AG29" s="6">
        <v>0.5</v>
      </c>
      <c r="AH29" s="68">
        <f t="shared" si="0"/>
        <v>0.9</v>
      </c>
      <c r="AI29" s="69">
        <f t="shared" si="1"/>
        <v>90</v>
      </c>
      <c r="AJ29" s="76" t="s">
        <v>307</v>
      </c>
      <c r="AK29" s="125">
        <f t="shared" si="11"/>
        <v>0.71379915616115208</v>
      </c>
      <c r="AL29" s="19">
        <v>0.1</v>
      </c>
      <c r="AM29" s="9">
        <v>0.1</v>
      </c>
      <c r="AN29" s="9">
        <v>0</v>
      </c>
      <c r="AO29" s="9">
        <f t="shared" si="2"/>
        <v>0.18999999999999995</v>
      </c>
      <c r="AP29" s="125">
        <f t="shared" si="3"/>
        <v>9.9999999999999978E-2</v>
      </c>
      <c r="AQ29" s="129">
        <f t="shared" si="4"/>
        <v>0.59499999999999997</v>
      </c>
      <c r="AR29" s="71" t="s">
        <v>143</v>
      </c>
      <c r="AS29" s="97">
        <f t="shared" si="5"/>
        <v>0.28620084383884792</v>
      </c>
      <c r="AT29" s="95">
        <f t="shared" si="6"/>
        <v>0.2203613307702541</v>
      </c>
      <c r="AU29" s="77" t="s">
        <v>330</v>
      </c>
      <c r="AV29" s="111">
        <v>4.4999999999999999E-4</v>
      </c>
      <c r="AW29" s="98">
        <f t="shared" si="7"/>
        <v>0.59499999999999997</v>
      </c>
      <c r="AX29" s="99">
        <f t="shared" si="8"/>
        <v>2.6774999999999998E-4</v>
      </c>
      <c r="AY29" s="73" t="s">
        <v>342</v>
      </c>
      <c r="AZ29" s="9">
        <f t="shared" si="9"/>
        <v>6</v>
      </c>
      <c r="BA29" s="69">
        <f t="shared" si="12"/>
        <v>1.6064999999999999E-3</v>
      </c>
      <c r="BB29" s="72" t="s">
        <v>343</v>
      </c>
      <c r="BC29" s="104">
        <f t="shared" si="10"/>
        <v>1.8742499999999998E-3</v>
      </c>
      <c r="BD29" s="112" t="s">
        <v>343</v>
      </c>
    </row>
    <row r="30" spans="1:56" s="5" customFormat="1" ht="30" x14ac:dyDescent="0.25">
      <c r="A30" s="19">
        <v>27</v>
      </c>
      <c r="B30" s="9" t="s">
        <v>53</v>
      </c>
      <c r="C30" s="9" t="s">
        <v>107</v>
      </c>
      <c r="D30" s="15" t="s">
        <v>108</v>
      </c>
      <c r="E30" s="19" t="s">
        <v>145</v>
      </c>
      <c r="F30" s="9">
        <v>1</v>
      </c>
      <c r="G30" s="9">
        <v>72</v>
      </c>
      <c r="H30" s="9" t="s">
        <v>117</v>
      </c>
      <c r="I30" s="3" t="s">
        <v>118</v>
      </c>
      <c r="J30" s="6" t="s">
        <v>119</v>
      </c>
      <c r="K30" s="20">
        <v>4</v>
      </c>
      <c r="L30" s="17" t="s">
        <v>173</v>
      </c>
      <c r="M30" s="6" t="s">
        <v>181</v>
      </c>
      <c r="N30" s="6" t="s">
        <v>159</v>
      </c>
      <c r="O30" s="6" t="s">
        <v>149</v>
      </c>
      <c r="P30" s="6" t="s">
        <v>174</v>
      </c>
      <c r="Q30" s="4" t="s">
        <v>124</v>
      </c>
      <c r="R30" s="4" t="s">
        <v>126</v>
      </c>
      <c r="S30" s="4" t="s">
        <v>126</v>
      </c>
      <c r="T30" s="10" t="s">
        <v>134</v>
      </c>
      <c r="U30" s="25" t="s">
        <v>128</v>
      </c>
      <c r="V30" s="6" t="s">
        <v>129</v>
      </c>
      <c r="W30" s="6" t="s">
        <v>130</v>
      </c>
      <c r="X30" s="40" t="s">
        <v>2</v>
      </c>
      <c r="Y30" s="6" t="s">
        <v>0</v>
      </c>
      <c r="Z30" s="6" t="s">
        <v>0</v>
      </c>
      <c r="AA30" s="6" t="s">
        <v>196</v>
      </c>
      <c r="AB30" s="21" t="s">
        <v>137</v>
      </c>
      <c r="AC30" s="28">
        <v>1</v>
      </c>
      <c r="AD30" s="25">
        <v>0.5</v>
      </c>
      <c r="AE30" s="6">
        <v>0.05</v>
      </c>
      <c r="AF30" s="6">
        <v>0.25</v>
      </c>
      <c r="AG30" s="6">
        <v>0.5</v>
      </c>
      <c r="AH30" s="68">
        <f t="shared" si="0"/>
        <v>0.82187500000000002</v>
      </c>
      <c r="AI30" s="69">
        <f t="shared" si="1"/>
        <v>82.1875</v>
      </c>
      <c r="AJ30" s="75" t="s">
        <v>143</v>
      </c>
      <c r="AK30" s="125">
        <f t="shared" si="11"/>
        <v>0.53379987105554849</v>
      </c>
      <c r="AL30" s="19">
        <v>0.1</v>
      </c>
      <c r="AM30" s="9">
        <v>0.1</v>
      </c>
      <c r="AN30" s="9">
        <v>0</v>
      </c>
      <c r="AO30" s="9">
        <f t="shared" si="2"/>
        <v>0.18999999999999995</v>
      </c>
      <c r="AP30" s="125">
        <f t="shared" si="3"/>
        <v>0.17812499999999998</v>
      </c>
      <c r="AQ30" s="129">
        <f t="shared" si="4"/>
        <v>0.51434428718067338</v>
      </c>
      <c r="AR30" s="71" t="s">
        <v>143</v>
      </c>
      <c r="AS30" s="97">
        <f t="shared" si="5"/>
        <v>0.46620012894445151</v>
      </c>
      <c r="AT30" s="95">
        <f t="shared" si="6"/>
        <v>8.3048621407052464E-2</v>
      </c>
      <c r="AU30" s="77" t="s">
        <v>330</v>
      </c>
      <c r="AV30" s="111">
        <v>4.4999999999999999E-4</v>
      </c>
      <c r="AW30" s="98">
        <f t="shared" si="7"/>
        <v>0.51434428718067338</v>
      </c>
      <c r="AX30" s="99">
        <f t="shared" si="8"/>
        <v>2.3145492923130301E-4</v>
      </c>
      <c r="AY30" s="72" t="s">
        <v>343</v>
      </c>
      <c r="AZ30" s="9">
        <f t="shared" si="9"/>
        <v>4</v>
      </c>
      <c r="BA30" s="69">
        <f t="shared" si="12"/>
        <v>9.2581971692521205E-4</v>
      </c>
      <c r="BB30" s="72" t="s">
        <v>343</v>
      </c>
      <c r="BC30" s="104">
        <f t="shared" si="10"/>
        <v>1.157274646156515E-3</v>
      </c>
      <c r="BD30" s="112" t="s">
        <v>343</v>
      </c>
    </row>
    <row r="31" spans="1:56" s="5" customFormat="1" ht="30" x14ac:dyDescent="0.25">
      <c r="A31" s="19">
        <v>28</v>
      </c>
      <c r="B31" s="9" t="s">
        <v>54</v>
      </c>
      <c r="C31" s="9" t="s">
        <v>109</v>
      </c>
      <c r="D31" s="15" t="s">
        <v>110</v>
      </c>
      <c r="E31" s="19" t="s">
        <v>115</v>
      </c>
      <c r="F31" s="9">
        <v>1</v>
      </c>
      <c r="G31" s="9">
        <v>72</v>
      </c>
      <c r="H31" s="9" t="s">
        <v>167</v>
      </c>
      <c r="I31" s="3" t="s">
        <v>118</v>
      </c>
      <c r="J31" s="6" t="s">
        <v>119</v>
      </c>
      <c r="K31" s="20">
        <v>3</v>
      </c>
      <c r="L31" s="11" t="s">
        <v>158</v>
      </c>
      <c r="M31" s="6" t="s">
        <v>181</v>
      </c>
      <c r="N31" s="6" t="s">
        <v>122</v>
      </c>
      <c r="O31" s="6" t="s">
        <v>149</v>
      </c>
      <c r="P31" s="6">
        <v>2020</v>
      </c>
      <c r="Q31" s="4" t="s">
        <v>160</v>
      </c>
      <c r="R31" s="4" t="s">
        <v>125</v>
      </c>
      <c r="S31" s="4" t="s">
        <v>126</v>
      </c>
      <c r="T31" s="10" t="s">
        <v>134</v>
      </c>
      <c r="U31" s="25" t="s">
        <v>128</v>
      </c>
      <c r="V31" s="6" t="s">
        <v>129</v>
      </c>
      <c r="W31" s="6" t="s">
        <v>130</v>
      </c>
      <c r="X31" s="40" t="s">
        <v>2</v>
      </c>
      <c r="Y31" s="6" t="s">
        <v>0</v>
      </c>
      <c r="Z31" s="6" t="s">
        <v>0</v>
      </c>
      <c r="AA31" s="6" t="s">
        <v>196</v>
      </c>
      <c r="AB31" s="21" t="s">
        <v>137</v>
      </c>
      <c r="AC31" s="28">
        <v>1</v>
      </c>
      <c r="AD31" s="25">
        <v>0.5</v>
      </c>
      <c r="AE31" s="6">
        <v>0.05</v>
      </c>
      <c r="AF31" s="6">
        <v>0.25</v>
      </c>
      <c r="AG31" s="6">
        <v>0.1</v>
      </c>
      <c r="AH31" s="68">
        <f t="shared" si="0"/>
        <v>0.67937500000000006</v>
      </c>
      <c r="AI31" s="69">
        <f t="shared" si="1"/>
        <v>67.9375</v>
      </c>
      <c r="AJ31" s="77" t="s">
        <v>154</v>
      </c>
      <c r="AK31" s="125">
        <f>(AH31)^3.2</f>
        <v>0.29023554325797374</v>
      </c>
      <c r="AL31" s="19">
        <v>0.1</v>
      </c>
      <c r="AM31" s="9">
        <v>0.1</v>
      </c>
      <c r="AN31" s="9">
        <v>0</v>
      </c>
      <c r="AO31" s="9">
        <f t="shared" si="2"/>
        <v>0.18999999999999995</v>
      </c>
      <c r="AP31" s="125">
        <f t="shared" si="3"/>
        <v>0.32062499999999994</v>
      </c>
      <c r="AQ31" s="129">
        <f t="shared" si="4"/>
        <v>0.1755829903978052</v>
      </c>
      <c r="AR31" s="72" t="s">
        <v>330</v>
      </c>
      <c r="AS31" s="97">
        <f t="shared" si="5"/>
        <v>0.70976445674202626</v>
      </c>
      <c r="AT31" s="95">
        <f t="shared" si="6"/>
        <v>3.5830157063794742E-2</v>
      </c>
      <c r="AU31" s="77" t="s">
        <v>330</v>
      </c>
      <c r="AV31" s="111">
        <v>4.4999999999999999E-4</v>
      </c>
      <c r="AW31" s="98">
        <f t="shared" si="7"/>
        <v>0.1755829903978052</v>
      </c>
      <c r="AX31" s="99">
        <f t="shared" si="8"/>
        <v>7.9012345679012333E-5</v>
      </c>
      <c r="AY31" s="72" t="s">
        <v>343</v>
      </c>
      <c r="AZ31" s="9">
        <f t="shared" si="9"/>
        <v>3</v>
      </c>
      <c r="BA31" s="69">
        <f t="shared" si="12"/>
        <v>2.3703703703703701E-4</v>
      </c>
      <c r="BB31" s="72" t="s">
        <v>343</v>
      </c>
      <c r="BC31" s="104">
        <f t="shared" si="10"/>
        <v>3.1604938271604933E-4</v>
      </c>
      <c r="BD31" s="115" t="s">
        <v>345</v>
      </c>
    </row>
    <row r="32" spans="1:56" s="5" customFormat="1" ht="60" x14ac:dyDescent="0.25">
      <c r="A32" s="19">
        <v>29</v>
      </c>
      <c r="B32" s="9" t="s">
        <v>55</v>
      </c>
      <c r="C32" s="9" t="s">
        <v>111</v>
      </c>
      <c r="D32" s="15" t="s">
        <v>112</v>
      </c>
      <c r="E32" s="19" t="s">
        <v>115</v>
      </c>
      <c r="F32" s="9">
        <v>2</v>
      </c>
      <c r="G32" s="9">
        <v>72</v>
      </c>
      <c r="H32" s="9" t="s">
        <v>117</v>
      </c>
      <c r="I32" s="3" t="s">
        <v>118</v>
      </c>
      <c r="J32" s="6" t="s">
        <v>165</v>
      </c>
      <c r="K32" s="20">
        <v>3</v>
      </c>
      <c r="L32" s="11" t="s">
        <v>158</v>
      </c>
      <c r="M32" s="6" t="s">
        <v>162</v>
      </c>
      <c r="N32" s="6" t="s">
        <v>172</v>
      </c>
      <c r="O32" s="6" t="s">
        <v>149</v>
      </c>
      <c r="P32" s="6">
        <v>2011</v>
      </c>
      <c r="Q32" s="4" t="s">
        <v>160</v>
      </c>
      <c r="R32" s="4" t="s">
        <v>126</v>
      </c>
      <c r="S32" s="4" t="s">
        <v>126</v>
      </c>
      <c r="T32" s="10" t="s">
        <v>134</v>
      </c>
      <c r="U32" s="25" t="s">
        <v>128</v>
      </c>
      <c r="V32" s="6" t="s">
        <v>129</v>
      </c>
      <c r="W32" s="6" t="s">
        <v>130</v>
      </c>
      <c r="X32" s="6" t="s">
        <v>0</v>
      </c>
      <c r="Y32" s="6" t="s">
        <v>0</v>
      </c>
      <c r="Z32" s="6" t="s">
        <v>0</v>
      </c>
      <c r="AA32" s="6" t="s">
        <v>196</v>
      </c>
      <c r="AB32" s="21" t="s">
        <v>137</v>
      </c>
      <c r="AC32" s="28">
        <v>1</v>
      </c>
      <c r="AD32" s="25">
        <v>0.5</v>
      </c>
      <c r="AE32" s="6">
        <v>0.6</v>
      </c>
      <c r="AF32" s="6">
        <v>0.25</v>
      </c>
      <c r="AG32" s="6">
        <v>0.3</v>
      </c>
      <c r="AH32" s="68">
        <f t="shared" si="0"/>
        <v>0.89500000000000002</v>
      </c>
      <c r="AI32" s="69">
        <f t="shared" si="1"/>
        <v>89.5</v>
      </c>
      <c r="AJ32" s="75" t="s">
        <v>143</v>
      </c>
      <c r="AK32" s="125">
        <f t="shared" si="11"/>
        <v>0.70118676965305315</v>
      </c>
      <c r="AL32" s="19">
        <v>0.1</v>
      </c>
      <c r="AM32" s="9">
        <v>0.1</v>
      </c>
      <c r="AN32" s="9">
        <v>0</v>
      </c>
      <c r="AO32" s="9">
        <f t="shared" si="2"/>
        <v>0.18999999999999995</v>
      </c>
      <c r="AP32" s="125">
        <f t="shared" si="3"/>
        <v>0.10499999999999998</v>
      </c>
      <c r="AQ32" s="129">
        <f t="shared" si="4"/>
        <v>0.59046222028026585</v>
      </c>
      <c r="AR32" s="71" t="s">
        <v>143</v>
      </c>
      <c r="AS32" s="97">
        <f t="shared" si="5"/>
        <v>0.29881323034694685</v>
      </c>
      <c r="AT32" s="95">
        <f t="shared" si="6"/>
        <v>0.20215177600884274</v>
      </c>
      <c r="AU32" s="77" t="s">
        <v>330</v>
      </c>
      <c r="AV32" s="111">
        <v>4.4999999999999999E-4</v>
      </c>
      <c r="AW32" s="98">
        <f t="shared" si="7"/>
        <v>0.59046222028026585</v>
      </c>
      <c r="AX32" s="99">
        <f t="shared" si="8"/>
        <v>2.6570799912611963E-4</v>
      </c>
      <c r="AY32" s="73" t="s">
        <v>342</v>
      </c>
      <c r="AZ32" s="9">
        <f t="shared" si="9"/>
        <v>3</v>
      </c>
      <c r="BA32" s="69">
        <f t="shared" si="12"/>
        <v>7.9712399737835889E-4</v>
      </c>
      <c r="BB32" s="72" t="s">
        <v>343</v>
      </c>
      <c r="BC32" s="104">
        <f t="shared" si="10"/>
        <v>1.0628319965044785E-3</v>
      </c>
      <c r="BD32" s="112" t="s">
        <v>343</v>
      </c>
    </row>
    <row r="33" spans="1:56" s="5" customFormat="1" ht="30" x14ac:dyDescent="0.25">
      <c r="A33" s="19">
        <v>30</v>
      </c>
      <c r="B33" s="9" t="s">
        <v>56</v>
      </c>
      <c r="C33" s="9" t="s">
        <v>113</v>
      </c>
      <c r="D33" s="15" t="s">
        <v>114</v>
      </c>
      <c r="E33" s="19" t="s">
        <v>145</v>
      </c>
      <c r="F33" s="9">
        <v>2</v>
      </c>
      <c r="G33" s="9">
        <v>72</v>
      </c>
      <c r="H33" s="9" t="s">
        <v>117</v>
      </c>
      <c r="I33" s="3" t="s">
        <v>118</v>
      </c>
      <c r="J33" s="6" t="s">
        <v>165</v>
      </c>
      <c r="K33" s="20">
        <v>3</v>
      </c>
      <c r="L33" s="11" t="s">
        <v>158</v>
      </c>
      <c r="M33" s="6" t="s">
        <v>121</v>
      </c>
      <c r="N33" s="6" t="s">
        <v>148</v>
      </c>
      <c r="O33" s="6" t="s">
        <v>149</v>
      </c>
      <c r="P33" s="6">
        <v>2002</v>
      </c>
      <c r="Q33" s="4" t="s">
        <v>160</v>
      </c>
      <c r="R33" s="4" t="s">
        <v>125</v>
      </c>
      <c r="S33" s="4" t="s">
        <v>126</v>
      </c>
      <c r="T33" s="10" t="s">
        <v>134</v>
      </c>
      <c r="U33" s="25" t="s">
        <v>128</v>
      </c>
      <c r="V33" s="6" t="s">
        <v>129</v>
      </c>
      <c r="W33" s="6" t="s">
        <v>130</v>
      </c>
      <c r="X33" s="6" t="s">
        <v>0</v>
      </c>
      <c r="Y33" s="6" t="s">
        <v>0</v>
      </c>
      <c r="Z33" s="6" t="s">
        <v>0</v>
      </c>
      <c r="AA33" s="6" t="s">
        <v>196</v>
      </c>
      <c r="AB33" s="21" t="s">
        <v>137</v>
      </c>
      <c r="AC33" s="28">
        <v>1</v>
      </c>
      <c r="AD33" s="25">
        <v>0.5</v>
      </c>
      <c r="AE33" s="6">
        <v>0.6</v>
      </c>
      <c r="AF33" s="6">
        <v>0.25</v>
      </c>
      <c r="AG33" s="6">
        <v>0.3</v>
      </c>
      <c r="AH33" s="68">
        <f t="shared" si="0"/>
        <v>0.89500000000000002</v>
      </c>
      <c r="AI33" s="69">
        <f t="shared" si="1"/>
        <v>89.5</v>
      </c>
      <c r="AJ33" s="75" t="s">
        <v>143</v>
      </c>
      <c r="AK33" s="125">
        <f t="shared" si="11"/>
        <v>0.70118676965305315</v>
      </c>
      <c r="AL33" s="19">
        <v>0.1</v>
      </c>
      <c r="AM33" s="9">
        <v>0.1</v>
      </c>
      <c r="AN33" s="9">
        <v>0</v>
      </c>
      <c r="AO33" s="9">
        <f t="shared" si="2"/>
        <v>0.18999999999999995</v>
      </c>
      <c r="AP33" s="125">
        <f t="shared" si="3"/>
        <v>0.10499999999999998</v>
      </c>
      <c r="AQ33" s="129">
        <f t="shared" si="4"/>
        <v>0.59046222028026585</v>
      </c>
      <c r="AR33" s="71" t="s">
        <v>143</v>
      </c>
      <c r="AS33" s="97">
        <f t="shared" si="5"/>
        <v>0.29881323034694685</v>
      </c>
      <c r="AT33" s="95">
        <f t="shared" si="6"/>
        <v>0.20215177600884274</v>
      </c>
      <c r="AU33" s="77" t="s">
        <v>330</v>
      </c>
      <c r="AV33" s="111">
        <v>4.4999999999999999E-4</v>
      </c>
      <c r="AW33" s="98">
        <f t="shared" si="7"/>
        <v>0.59046222028026585</v>
      </c>
      <c r="AX33" s="99">
        <f t="shared" si="8"/>
        <v>2.6570799912611963E-4</v>
      </c>
      <c r="AY33" s="73" t="s">
        <v>342</v>
      </c>
      <c r="AZ33" s="9">
        <f t="shared" si="9"/>
        <v>3</v>
      </c>
      <c r="BA33" s="69">
        <f t="shared" si="12"/>
        <v>7.9712399737835889E-4</v>
      </c>
      <c r="BB33" s="72" t="s">
        <v>343</v>
      </c>
      <c r="BC33" s="104">
        <f t="shared" si="10"/>
        <v>1.0628319965044785E-3</v>
      </c>
      <c r="BD33" s="112" t="s">
        <v>343</v>
      </c>
    </row>
    <row r="34" spans="1:56" ht="30" x14ac:dyDescent="0.25">
      <c r="A34" s="19">
        <v>31</v>
      </c>
      <c r="B34" s="7" t="s">
        <v>186</v>
      </c>
      <c r="C34" s="9" t="s">
        <v>191</v>
      </c>
      <c r="D34" s="15" t="s">
        <v>192</v>
      </c>
      <c r="E34" s="19" t="s">
        <v>145</v>
      </c>
      <c r="F34" s="9">
        <v>2</v>
      </c>
      <c r="G34" s="7">
        <v>72</v>
      </c>
      <c r="H34" s="9" t="s">
        <v>117</v>
      </c>
      <c r="I34" s="3" t="s">
        <v>118</v>
      </c>
      <c r="J34" s="6" t="s">
        <v>193</v>
      </c>
      <c r="K34" s="20">
        <v>4</v>
      </c>
      <c r="L34" s="17" t="s">
        <v>166</v>
      </c>
      <c r="M34" s="6" t="s">
        <v>162</v>
      </c>
      <c r="N34" s="6" t="s">
        <v>194</v>
      </c>
      <c r="O34" s="6" t="s">
        <v>183</v>
      </c>
      <c r="P34" s="6" t="s">
        <v>174</v>
      </c>
      <c r="Q34" s="4" t="s">
        <v>160</v>
      </c>
      <c r="R34" s="4" t="s">
        <v>125</v>
      </c>
      <c r="S34" s="4" t="s">
        <v>126</v>
      </c>
      <c r="T34" s="15" t="s">
        <v>151</v>
      </c>
      <c r="U34" s="25" t="s">
        <v>195</v>
      </c>
      <c r="V34" s="9" t="s">
        <v>195</v>
      </c>
      <c r="W34" s="6" t="s">
        <v>130</v>
      </c>
      <c r="X34" s="6" t="s">
        <v>0</v>
      </c>
      <c r="Y34" s="6" t="s">
        <v>0</v>
      </c>
      <c r="Z34" s="6" t="s">
        <v>0</v>
      </c>
      <c r="AA34" s="6" t="s">
        <v>196</v>
      </c>
      <c r="AB34" s="20" t="s">
        <v>195</v>
      </c>
      <c r="AC34" s="30">
        <v>1</v>
      </c>
      <c r="AD34" s="25">
        <v>0.3</v>
      </c>
      <c r="AE34" s="6">
        <v>0.6</v>
      </c>
      <c r="AF34" s="6">
        <v>0.25</v>
      </c>
      <c r="AG34" s="6">
        <v>0.3</v>
      </c>
      <c r="AH34" s="68">
        <f t="shared" si="0"/>
        <v>0.85299999999999998</v>
      </c>
      <c r="AI34" s="69">
        <f t="shared" si="1"/>
        <v>85.3</v>
      </c>
      <c r="AJ34" s="75" t="s">
        <v>143</v>
      </c>
      <c r="AK34" s="125">
        <f t="shared" si="11"/>
        <v>0.60122481824896112</v>
      </c>
      <c r="AL34" s="19">
        <v>0.1</v>
      </c>
      <c r="AM34" s="9">
        <v>0.1</v>
      </c>
      <c r="AN34" s="9">
        <v>0</v>
      </c>
      <c r="AO34" s="9">
        <f t="shared" si="2"/>
        <v>0.18999999999999995</v>
      </c>
      <c r="AP34" s="125">
        <f t="shared" si="3"/>
        <v>0.14700000000000002</v>
      </c>
      <c r="AQ34" s="129">
        <f t="shared" si="4"/>
        <v>0.5491397165235723</v>
      </c>
      <c r="AR34" s="71" t="s">
        <v>143</v>
      </c>
      <c r="AS34" s="97">
        <f t="shared" si="5"/>
        <v>0.39877518175103888</v>
      </c>
      <c r="AT34" s="95">
        <f t="shared" si="6"/>
        <v>0.11350656028052673</v>
      </c>
      <c r="AU34" s="77" t="s">
        <v>330</v>
      </c>
      <c r="AV34" s="111">
        <v>4.4999999999999999E-4</v>
      </c>
      <c r="AW34" s="98">
        <f t="shared" si="7"/>
        <v>0.5491397165235723</v>
      </c>
      <c r="AX34" s="99">
        <f t="shared" si="8"/>
        <v>2.4711287243560755E-4</v>
      </c>
      <c r="AY34" s="72" t="s">
        <v>343</v>
      </c>
      <c r="AZ34" s="9">
        <f t="shared" si="9"/>
        <v>4</v>
      </c>
      <c r="BA34" s="69">
        <f t="shared" si="12"/>
        <v>9.884514897424302E-4</v>
      </c>
      <c r="BB34" s="72" t="s">
        <v>343</v>
      </c>
      <c r="BC34" s="104">
        <f t="shared" si="10"/>
        <v>1.2355643621780378E-3</v>
      </c>
      <c r="BD34" s="112" t="s">
        <v>343</v>
      </c>
    </row>
    <row r="35" spans="1:56" ht="30" x14ac:dyDescent="0.25">
      <c r="A35" s="19">
        <v>32</v>
      </c>
      <c r="B35" s="7" t="s">
        <v>187</v>
      </c>
      <c r="C35" s="9" t="s">
        <v>197</v>
      </c>
      <c r="D35" s="15" t="s">
        <v>198</v>
      </c>
      <c r="E35" s="19" t="s">
        <v>115</v>
      </c>
      <c r="F35" s="9">
        <v>1</v>
      </c>
      <c r="G35" s="7">
        <v>72</v>
      </c>
      <c r="H35" s="9" t="s">
        <v>117</v>
      </c>
      <c r="I35" s="3" t="s">
        <v>118</v>
      </c>
      <c r="J35" s="6" t="s">
        <v>193</v>
      </c>
      <c r="K35" s="20">
        <v>4</v>
      </c>
      <c r="L35" s="17" t="s">
        <v>166</v>
      </c>
      <c r="M35" s="6" t="s">
        <v>181</v>
      </c>
      <c r="N35" s="6" t="s">
        <v>195</v>
      </c>
      <c r="O35" s="6" t="s">
        <v>166</v>
      </c>
      <c r="P35" s="6" t="s">
        <v>174</v>
      </c>
      <c r="Q35" s="4" t="s">
        <v>160</v>
      </c>
      <c r="R35" s="4" t="s">
        <v>125</v>
      </c>
      <c r="S35" s="4" t="s">
        <v>126</v>
      </c>
      <c r="T35" s="15" t="s">
        <v>185</v>
      </c>
      <c r="U35" s="25" t="s">
        <v>195</v>
      </c>
      <c r="V35" s="6" t="s">
        <v>195</v>
      </c>
      <c r="W35" s="6" t="s">
        <v>130</v>
      </c>
      <c r="X35" s="60" t="s">
        <v>195</v>
      </c>
      <c r="Y35" s="60" t="s">
        <v>195</v>
      </c>
      <c r="Z35" s="60" t="s">
        <v>195</v>
      </c>
      <c r="AA35" s="6" t="s">
        <v>196</v>
      </c>
      <c r="AB35" s="20" t="s">
        <v>195</v>
      </c>
      <c r="AC35" s="30">
        <v>1</v>
      </c>
      <c r="AD35" s="25">
        <v>0.7</v>
      </c>
      <c r="AE35" s="6">
        <v>0.05</v>
      </c>
      <c r="AF35" s="6">
        <v>0.25</v>
      </c>
      <c r="AG35" s="6">
        <v>0.5</v>
      </c>
      <c r="AH35" s="68">
        <f t="shared" si="0"/>
        <v>0.89312499999999995</v>
      </c>
      <c r="AI35" s="69">
        <f t="shared" si="1"/>
        <v>89.3125</v>
      </c>
      <c r="AJ35" s="75" t="s">
        <v>143</v>
      </c>
      <c r="AK35" s="125">
        <f t="shared" si="11"/>
        <v>0.69649689975213147</v>
      </c>
      <c r="AL35" s="19">
        <v>0.1</v>
      </c>
      <c r="AM35" s="9">
        <v>0.1</v>
      </c>
      <c r="AN35" s="9">
        <v>0</v>
      </c>
      <c r="AO35" s="9">
        <f t="shared" si="2"/>
        <v>0.18999999999999995</v>
      </c>
      <c r="AP35" s="125">
        <f t="shared" si="3"/>
        <v>0.10687500000000005</v>
      </c>
      <c r="AQ35" s="129">
        <f t="shared" si="4"/>
        <v>0.58874087248982743</v>
      </c>
      <c r="AR35" s="71" t="s">
        <v>143</v>
      </c>
      <c r="AS35" s="97">
        <f>1-AK35</f>
        <v>0.30350310024786853</v>
      </c>
      <c r="AT35" s="95">
        <f t="shared" si="6"/>
        <v>0.19595256054109134</v>
      </c>
      <c r="AU35" s="77" t="s">
        <v>330</v>
      </c>
      <c r="AV35" s="111">
        <v>4.4999999999999999E-4</v>
      </c>
      <c r="AW35" s="98">
        <f t="shared" si="7"/>
        <v>0.58874087248982743</v>
      </c>
      <c r="AX35" s="99">
        <f t="shared" si="8"/>
        <v>2.6493339262042236E-4</v>
      </c>
      <c r="AY35" s="73" t="s">
        <v>342</v>
      </c>
      <c r="AZ35" s="9">
        <f t="shared" si="9"/>
        <v>4</v>
      </c>
      <c r="BA35" s="69">
        <f t="shared" si="12"/>
        <v>1.0597335704816894E-3</v>
      </c>
      <c r="BB35" s="72" t="s">
        <v>343</v>
      </c>
      <c r="BC35" s="104">
        <f t="shared" si="10"/>
        <v>1.3246669631021119E-3</v>
      </c>
      <c r="BD35" s="112" t="s">
        <v>343</v>
      </c>
    </row>
    <row r="36" spans="1:56" ht="30.75" customHeight="1" x14ac:dyDescent="0.25">
      <c r="A36" s="19">
        <v>33</v>
      </c>
      <c r="B36" s="7" t="s">
        <v>188</v>
      </c>
      <c r="C36" s="9" t="s">
        <v>199</v>
      </c>
      <c r="D36" s="15" t="s">
        <v>75</v>
      </c>
      <c r="E36" s="19" t="s">
        <v>145</v>
      </c>
      <c r="F36" s="9">
        <v>4</v>
      </c>
      <c r="G36" s="7">
        <v>72</v>
      </c>
      <c r="H36" s="9" t="s">
        <v>167</v>
      </c>
      <c r="I36" s="3" t="s">
        <v>118</v>
      </c>
      <c r="J36" s="6" t="s">
        <v>193</v>
      </c>
      <c r="K36" s="33">
        <v>0</v>
      </c>
      <c r="L36" s="11" t="s">
        <v>200</v>
      </c>
      <c r="M36" s="6" t="s">
        <v>121</v>
      </c>
      <c r="N36" s="6" t="s">
        <v>159</v>
      </c>
      <c r="O36" s="6" t="s">
        <v>149</v>
      </c>
      <c r="P36" s="6" t="s">
        <v>174</v>
      </c>
      <c r="Q36" s="4" t="s">
        <v>160</v>
      </c>
      <c r="R36" s="4" t="s">
        <v>126</v>
      </c>
      <c r="S36" s="4" t="s">
        <v>126</v>
      </c>
      <c r="T36" s="15" t="s">
        <v>134</v>
      </c>
      <c r="U36" s="25" t="s">
        <v>195</v>
      </c>
      <c r="V36" s="6" t="s">
        <v>195</v>
      </c>
      <c r="W36" s="6" t="s">
        <v>130</v>
      </c>
      <c r="X36" s="60" t="s">
        <v>195</v>
      </c>
      <c r="Y36" s="60" t="s">
        <v>195</v>
      </c>
      <c r="Z36" s="60" t="s">
        <v>195</v>
      </c>
      <c r="AA36" s="6" t="s">
        <v>196</v>
      </c>
      <c r="AB36" s="20" t="s">
        <v>195</v>
      </c>
      <c r="AC36" s="30">
        <v>1</v>
      </c>
      <c r="AD36" s="25">
        <v>0.5</v>
      </c>
      <c r="AE36" s="6">
        <v>0.9</v>
      </c>
      <c r="AF36" s="6">
        <v>0.25</v>
      </c>
      <c r="AG36" s="6">
        <v>0.5</v>
      </c>
      <c r="AH36" s="68">
        <f t="shared" si="0"/>
        <v>0.98124999999999996</v>
      </c>
      <c r="AI36" s="69">
        <f t="shared" si="1"/>
        <v>98.125</v>
      </c>
      <c r="AJ36" s="76" t="s">
        <v>307</v>
      </c>
      <c r="AK36" s="125">
        <f t="shared" si="11"/>
        <v>0.94122822747742318</v>
      </c>
      <c r="AL36" s="19">
        <v>0.1</v>
      </c>
      <c r="AM36" s="9">
        <v>0.1</v>
      </c>
      <c r="AN36" s="9">
        <v>0</v>
      </c>
      <c r="AO36" s="9">
        <f t="shared" si="2"/>
        <v>0.18999999999999995</v>
      </c>
      <c r="AP36" s="125">
        <f t="shared" si="3"/>
        <v>1.8750000000000044E-2</v>
      </c>
      <c r="AQ36" s="129">
        <f t="shared" si="4"/>
        <v>0.65929327761775325</v>
      </c>
      <c r="AR36" s="71" t="s">
        <v>143</v>
      </c>
      <c r="AS36" s="97">
        <f t="shared" si="5"/>
        <v>5.8771772522576815E-2</v>
      </c>
      <c r="AT36" s="95">
        <f t="shared" si="6"/>
        <v>0.65929327761775325</v>
      </c>
      <c r="AU36" s="76" t="s">
        <v>143</v>
      </c>
      <c r="AV36" s="111">
        <v>4.4999999999999999E-4</v>
      </c>
      <c r="AW36" s="98">
        <f t="shared" si="7"/>
        <v>0.65929327761775325</v>
      </c>
      <c r="AX36" s="99">
        <f t="shared" si="8"/>
        <v>2.9668197492798895E-4</v>
      </c>
      <c r="AY36" s="73" t="s">
        <v>342</v>
      </c>
      <c r="AZ36" s="9">
        <f t="shared" si="9"/>
        <v>0</v>
      </c>
      <c r="BA36" s="69">
        <f t="shared" si="12"/>
        <v>0</v>
      </c>
      <c r="BB36" s="72" t="s">
        <v>343</v>
      </c>
      <c r="BC36" s="104">
        <f t="shared" si="10"/>
        <v>2.9668197492798895E-4</v>
      </c>
      <c r="BD36" s="112" t="s">
        <v>343</v>
      </c>
    </row>
    <row r="37" spans="1:56" ht="34.5" customHeight="1" x14ac:dyDescent="0.25">
      <c r="A37" s="19">
        <v>34</v>
      </c>
      <c r="B37" s="9" t="s">
        <v>189</v>
      </c>
      <c r="C37" s="9" t="s">
        <v>205</v>
      </c>
      <c r="D37" s="15" t="s">
        <v>206</v>
      </c>
      <c r="E37" s="19" t="s">
        <v>115</v>
      </c>
      <c r="F37" s="9">
        <v>1</v>
      </c>
      <c r="G37" s="9">
        <v>72</v>
      </c>
      <c r="H37" s="9" t="s">
        <v>117</v>
      </c>
      <c r="I37" s="3" t="s">
        <v>118</v>
      </c>
      <c r="J37" s="6" t="s">
        <v>193</v>
      </c>
      <c r="K37" s="20">
        <v>4</v>
      </c>
      <c r="L37" s="17" t="s">
        <v>166</v>
      </c>
      <c r="M37" s="6" t="s">
        <v>181</v>
      </c>
      <c r="N37" s="6" t="s">
        <v>195</v>
      </c>
      <c r="O37" s="6" t="s">
        <v>166</v>
      </c>
      <c r="P37" s="6" t="s">
        <v>174</v>
      </c>
      <c r="Q37" s="4" t="s">
        <v>124</v>
      </c>
      <c r="R37" s="4" t="s">
        <v>125</v>
      </c>
      <c r="S37" s="4" t="s">
        <v>126</v>
      </c>
      <c r="T37" s="15" t="s">
        <v>185</v>
      </c>
      <c r="U37" s="25" t="s">
        <v>128</v>
      </c>
      <c r="V37" s="9" t="s">
        <v>195</v>
      </c>
      <c r="W37" s="6" t="s">
        <v>130</v>
      </c>
      <c r="X37" s="60" t="s">
        <v>195</v>
      </c>
      <c r="Y37" s="60" t="s">
        <v>195</v>
      </c>
      <c r="Z37" s="60" t="s">
        <v>195</v>
      </c>
      <c r="AA37" s="6" t="s">
        <v>196</v>
      </c>
      <c r="AB37" s="20" t="s">
        <v>195</v>
      </c>
      <c r="AC37" s="30">
        <v>1</v>
      </c>
      <c r="AD37" s="25">
        <v>0.7</v>
      </c>
      <c r="AE37" s="6">
        <v>0.05</v>
      </c>
      <c r="AF37" s="6">
        <v>0.25</v>
      </c>
      <c r="AG37" s="6">
        <v>0.5</v>
      </c>
      <c r="AH37" s="68">
        <f t="shared" si="0"/>
        <v>0.89312499999999995</v>
      </c>
      <c r="AI37" s="69">
        <f t="shared" si="1"/>
        <v>89.3125</v>
      </c>
      <c r="AJ37" s="75" t="s">
        <v>143</v>
      </c>
      <c r="AK37" s="125">
        <f t="shared" si="11"/>
        <v>0.69649689975213147</v>
      </c>
      <c r="AL37" s="19">
        <v>0.1</v>
      </c>
      <c r="AM37" s="9">
        <v>0.1</v>
      </c>
      <c r="AN37" s="9">
        <v>0</v>
      </c>
      <c r="AO37" s="9">
        <f t="shared" si="2"/>
        <v>0.18999999999999995</v>
      </c>
      <c r="AP37" s="125">
        <f t="shared" si="3"/>
        <v>0.10687500000000005</v>
      </c>
      <c r="AQ37" s="129">
        <f t="shared" si="4"/>
        <v>0.58874087248982743</v>
      </c>
      <c r="AR37" s="71" t="s">
        <v>143</v>
      </c>
      <c r="AS37" s="97">
        <f t="shared" si="5"/>
        <v>0.30350310024786853</v>
      </c>
      <c r="AT37" s="95">
        <f t="shared" si="6"/>
        <v>0.19595256054109134</v>
      </c>
      <c r="AU37" s="77" t="s">
        <v>330</v>
      </c>
      <c r="AV37" s="111">
        <v>4.4999999999999999E-4</v>
      </c>
      <c r="AW37" s="98">
        <f t="shared" si="7"/>
        <v>0.58874087248982743</v>
      </c>
      <c r="AX37" s="99">
        <f t="shared" si="8"/>
        <v>2.6493339262042236E-4</v>
      </c>
      <c r="AY37" s="73" t="s">
        <v>342</v>
      </c>
      <c r="AZ37" s="9">
        <f t="shared" si="9"/>
        <v>4</v>
      </c>
      <c r="BA37" s="69">
        <f t="shared" si="12"/>
        <v>1.0597335704816894E-3</v>
      </c>
      <c r="BB37" s="72" t="s">
        <v>343</v>
      </c>
      <c r="BC37" s="104">
        <f t="shared" si="10"/>
        <v>1.3246669631021119E-3</v>
      </c>
      <c r="BD37" s="112" t="s">
        <v>343</v>
      </c>
    </row>
    <row r="38" spans="1:56" s="8" customFormat="1" ht="26.25" customHeight="1" x14ac:dyDescent="0.25">
      <c r="A38" s="19">
        <v>35</v>
      </c>
      <c r="B38" s="9" t="s">
        <v>288</v>
      </c>
      <c r="C38" s="9" t="s">
        <v>201</v>
      </c>
      <c r="D38" s="15" t="s">
        <v>202</v>
      </c>
      <c r="E38" s="25" t="s">
        <v>203</v>
      </c>
      <c r="F38" s="9" t="s">
        <v>185</v>
      </c>
      <c r="G38" s="9" t="s">
        <v>185</v>
      </c>
      <c r="H38" s="9" t="s">
        <v>204</v>
      </c>
      <c r="I38" s="9" t="s">
        <v>185</v>
      </c>
      <c r="J38" s="9" t="s">
        <v>185</v>
      </c>
      <c r="K38" s="20">
        <v>0</v>
      </c>
      <c r="L38" s="29" t="s">
        <v>185</v>
      </c>
      <c r="M38" s="9" t="s">
        <v>185</v>
      </c>
      <c r="N38" s="9" t="s">
        <v>185</v>
      </c>
      <c r="O38" s="9" t="s">
        <v>185</v>
      </c>
      <c r="P38" s="6" t="s">
        <v>185</v>
      </c>
      <c r="Q38" s="9" t="s">
        <v>185</v>
      </c>
      <c r="R38" s="9" t="s">
        <v>185</v>
      </c>
      <c r="S38" s="9" t="s">
        <v>185</v>
      </c>
      <c r="T38" s="15" t="s">
        <v>185</v>
      </c>
      <c r="U38" s="25" t="s">
        <v>185</v>
      </c>
      <c r="V38" s="9" t="s">
        <v>185</v>
      </c>
      <c r="W38" s="9" t="s">
        <v>185</v>
      </c>
      <c r="X38" s="60" t="s">
        <v>185</v>
      </c>
      <c r="Y38" s="60" t="s">
        <v>185</v>
      </c>
      <c r="Z38" s="60" t="s">
        <v>185</v>
      </c>
      <c r="AA38" s="9" t="s">
        <v>185</v>
      </c>
      <c r="AB38" s="20" t="s">
        <v>185</v>
      </c>
      <c r="AC38" s="31" t="s">
        <v>185</v>
      </c>
      <c r="AD38" s="25">
        <v>0.7</v>
      </c>
      <c r="AE38" s="6">
        <v>0.6</v>
      </c>
      <c r="AF38" s="6">
        <v>0.25</v>
      </c>
      <c r="AG38" s="6">
        <v>0.5</v>
      </c>
      <c r="AH38" s="68">
        <f t="shared" si="0"/>
        <v>0.95499999999999996</v>
      </c>
      <c r="AI38" s="69">
        <f t="shared" si="1"/>
        <v>95.5</v>
      </c>
      <c r="AJ38" s="76" t="s">
        <v>307</v>
      </c>
      <c r="AK38" s="125">
        <f t="shared" si="11"/>
        <v>0.8629999867911009</v>
      </c>
      <c r="AL38" s="19">
        <v>0.1</v>
      </c>
      <c r="AM38" s="9">
        <v>0.1</v>
      </c>
      <c r="AN38" s="9">
        <v>0</v>
      </c>
      <c r="AO38" s="9">
        <f t="shared" si="2"/>
        <v>0.18999999999999995</v>
      </c>
      <c r="AP38" s="125">
        <f t="shared" si="3"/>
        <v>4.500000000000004E-2</v>
      </c>
      <c r="AQ38" s="129">
        <f t="shared" si="4"/>
        <v>0.64030591266686754</v>
      </c>
      <c r="AR38" s="96" t="s">
        <v>143</v>
      </c>
      <c r="AS38" s="97">
        <f t="shared" si="5"/>
        <v>0.1370000132088991</v>
      </c>
      <c r="AT38" s="95">
        <f t="shared" si="6"/>
        <v>0.64030591266686754</v>
      </c>
      <c r="AU38" s="110" t="s">
        <v>143</v>
      </c>
      <c r="AV38" s="111">
        <v>4.4999999999999999E-4</v>
      </c>
      <c r="AW38" s="98">
        <f t="shared" si="7"/>
        <v>0.64030591266686754</v>
      </c>
      <c r="AX38" s="99">
        <f t="shared" si="8"/>
        <v>2.8813766070009039E-4</v>
      </c>
      <c r="AY38" s="103" t="s">
        <v>342</v>
      </c>
      <c r="AZ38" s="9">
        <f t="shared" si="9"/>
        <v>0</v>
      </c>
      <c r="BA38" s="69">
        <f t="shared" si="12"/>
        <v>0</v>
      </c>
      <c r="BB38" s="72" t="s">
        <v>343</v>
      </c>
      <c r="BC38" s="104">
        <f t="shared" si="10"/>
        <v>2.8813766070009039E-4</v>
      </c>
      <c r="BD38" s="116" t="s">
        <v>345</v>
      </c>
    </row>
    <row r="39" spans="1:56" ht="36.75" customHeight="1" thickBot="1" x14ac:dyDescent="0.3">
      <c r="A39" s="19">
        <v>36</v>
      </c>
      <c r="B39" s="22" t="s">
        <v>190</v>
      </c>
      <c r="C39" s="22" t="s">
        <v>95</v>
      </c>
      <c r="D39" s="36" t="s">
        <v>96</v>
      </c>
      <c r="E39" s="35" t="s">
        <v>145</v>
      </c>
      <c r="F39" s="22">
        <v>1</v>
      </c>
      <c r="G39" s="22">
        <v>72</v>
      </c>
      <c r="H39" s="22" t="s">
        <v>117</v>
      </c>
      <c r="I39" s="34" t="s">
        <v>118</v>
      </c>
      <c r="J39" s="24" t="s">
        <v>193</v>
      </c>
      <c r="K39" s="23">
        <v>0</v>
      </c>
      <c r="L39" s="53" t="s">
        <v>166</v>
      </c>
      <c r="M39" s="24" t="s">
        <v>195</v>
      </c>
      <c r="N39" s="24" t="s">
        <v>195</v>
      </c>
      <c r="O39" s="24" t="s">
        <v>149</v>
      </c>
      <c r="P39" s="24" t="s">
        <v>174</v>
      </c>
      <c r="Q39" s="24" t="s">
        <v>160</v>
      </c>
      <c r="R39" s="24" t="s">
        <v>154</v>
      </c>
      <c r="S39" s="24" t="s">
        <v>154</v>
      </c>
      <c r="T39" s="36" t="s">
        <v>185</v>
      </c>
      <c r="U39" s="26" t="s">
        <v>128</v>
      </c>
      <c r="V39" s="22" t="s">
        <v>155</v>
      </c>
      <c r="W39" s="24" t="s">
        <v>130</v>
      </c>
      <c r="X39" s="42" t="s">
        <v>1</v>
      </c>
      <c r="Y39" s="24" t="s">
        <v>0</v>
      </c>
      <c r="Z39" s="24" t="s">
        <v>0</v>
      </c>
      <c r="AA39" s="24" t="s">
        <v>196</v>
      </c>
      <c r="AB39" s="23" t="s">
        <v>195</v>
      </c>
      <c r="AC39" s="32">
        <v>1</v>
      </c>
      <c r="AD39" s="26">
        <v>0.7</v>
      </c>
      <c r="AE39" s="24">
        <v>0.05</v>
      </c>
      <c r="AF39" s="24">
        <v>0.25</v>
      </c>
      <c r="AG39" s="24">
        <v>0.5</v>
      </c>
      <c r="AH39" s="126">
        <f t="shared" si="0"/>
        <v>0.89312499999999995</v>
      </c>
      <c r="AI39" s="121">
        <f t="shared" si="1"/>
        <v>89.3125</v>
      </c>
      <c r="AJ39" s="127" t="s">
        <v>143</v>
      </c>
      <c r="AK39" s="128">
        <f t="shared" si="11"/>
        <v>0.69649689975213147</v>
      </c>
      <c r="AL39" s="35">
        <v>0.1</v>
      </c>
      <c r="AM39" s="22">
        <v>0.1</v>
      </c>
      <c r="AN39" s="22">
        <v>0</v>
      </c>
      <c r="AO39" s="22">
        <f t="shared" si="2"/>
        <v>0.18999999999999995</v>
      </c>
      <c r="AP39" s="128">
        <f t="shared" si="3"/>
        <v>0.10687500000000005</v>
      </c>
      <c r="AQ39" s="129">
        <f t="shared" si="4"/>
        <v>0.58874087248982743</v>
      </c>
      <c r="AR39" s="71" t="s">
        <v>143</v>
      </c>
      <c r="AS39" s="97">
        <f t="shared" si="5"/>
        <v>0.30350310024786853</v>
      </c>
      <c r="AT39" s="95">
        <f t="shared" si="6"/>
        <v>0.19595256054109134</v>
      </c>
      <c r="AU39" s="77" t="s">
        <v>330</v>
      </c>
      <c r="AV39" s="117">
        <v>4.4999999999999999E-4</v>
      </c>
      <c r="AW39" s="118">
        <f t="shared" si="7"/>
        <v>0.58874087248982743</v>
      </c>
      <c r="AX39" s="119">
        <f t="shared" si="8"/>
        <v>2.6493339262042236E-4</v>
      </c>
      <c r="AY39" s="120" t="s">
        <v>342</v>
      </c>
      <c r="AZ39" s="22">
        <f t="shared" si="9"/>
        <v>0</v>
      </c>
      <c r="BA39" s="121">
        <f t="shared" si="12"/>
        <v>0</v>
      </c>
      <c r="BB39" s="122" t="s">
        <v>343</v>
      </c>
      <c r="BC39" s="123">
        <f t="shared" si="10"/>
        <v>2.6493339262042236E-4</v>
      </c>
      <c r="BD39" s="124" t="s">
        <v>345</v>
      </c>
    </row>
    <row r="40" spans="1:56" x14ac:dyDescent="0.25">
      <c r="AK40" s="8"/>
    </row>
    <row r="41" spans="1:56" x14ac:dyDescent="0.25">
      <c r="AK41" s="8"/>
    </row>
    <row r="42" spans="1:56" x14ac:dyDescent="0.25">
      <c r="AK42" s="8"/>
    </row>
    <row r="43" spans="1:56" x14ac:dyDescent="0.25">
      <c r="AK43" s="8"/>
    </row>
    <row r="44" spans="1:56" x14ac:dyDescent="0.25">
      <c r="AK44" s="8"/>
    </row>
    <row r="45" spans="1:56" x14ac:dyDescent="0.25">
      <c r="AK45" s="8"/>
    </row>
    <row r="46" spans="1:56" x14ac:dyDescent="0.25">
      <c r="AK46" s="8"/>
    </row>
    <row r="47" spans="1:56" x14ac:dyDescent="0.25">
      <c r="AK47" s="8"/>
    </row>
    <row r="48" spans="1:56" x14ac:dyDescent="0.25">
      <c r="AK48" s="8"/>
    </row>
    <row r="49" spans="37:37" x14ac:dyDescent="0.25">
      <c r="AK49" s="8"/>
    </row>
    <row r="50" spans="37:37" x14ac:dyDescent="0.25">
      <c r="AK50" s="8"/>
    </row>
    <row r="51" spans="37:37" x14ac:dyDescent="0.25">
      <c r="AK51" s="8"/>
    </row>
    <row r="52" spans="37:37" x14ac:dyDescent="0.25">
      <c r="AK52" s="8"/>
    </row>
    <row r="53" spans="37:37" x14ac:dyDescent="0.25">
      <c r="AK53" s="8"/>
    </row>
    <row r="54" spans="37:37" x14ac:dyDescent="0.25">
      <c r="AK54" s="8"/>
    </row>
    <row r="55" spans="37:37" x14ac:dyDescent="0.25">
      <c r="AK55" s="8"/>
    </row>
    <row r="56" spans="37:37" x14ac:dyDescent="0.25">
      <c r="AK56" s="8"/>
    </row>
    <row r="57" spans="37:37" x14ac:dyDescent="0.25">
      <c r="AK57" s="8"/>
    </row>
    <row r="58" spans="37:37" x14ac:dyDescent="0.25">
      <c r="AK58" s="8"/>
    </row>
    <row r="59" spans="37:37" x14ac:dyDescent="0.25">
      <c r="AK59" s="8"/>
    </row>
    <row r="60" spans="37:37" x14ac:dyDescent="0.25">
      <c r="AK60" s="8"/>
    </row>
    <row r="61" spans="37:37" x14ac:dyDescent="0.25">
      <c r="AK61" s="8"/>
    </row>
    <row r="62" spans="37:37" x14ac:dyDescent="0.25">
      <c r="AK62" s="8"/>
    </row>
    <row r="63" spans="37:37" x14ac:dyDescent="0.25">
      <c r="AK63" s="8"/>
    </row>
    <row r="64" spans="37:37" x14ac:dyDescent="0.25">
      <c r="AK64" s="8"/>
    </row>
    <row r="65" spans="37:37" x14ac:dyDescent="0.25">
      <c r="AK65" s="8"/>
    </row>
    <row r="66" spans="37:37" x14ac:dyDescent="0.25">
      <c r="AK66" s="8"/>
    </row>
    <row r="67" spans="37:37" x14ac:dyDescent="0.25">
      <c r="AK67" s="8"/>
    </row>
    <row r="68" spans="37:37" x14ac:dyDescent="0.25">
      <c r="AK68" s="8"/>
    </row>
    <row r="69" spans="37:37" x14ac:dyDescent="0.25">
      <c r="AK69" s="8"/>
    </row>
    <row r="70" spans="37:37" x14ac:dyDescent="0.25">
      <c r="AK70" s="8"/>
    </row>
    <row r="71" spans="37:37" x14ac:dyDescent="0.25">
      <c r="AK71" s="8"/>
    </row>
    <row r="72" spans="37:37" x14ac:dyDescent="0.25">
      <c r="AK72" s="8"/>
    </row>
    <row r="73" spans="37:37" x14ac:dyDescent="0.25">
      <c r="AK73" s="8"/>
    </row>
    <row r="74" spans="37:37" x14ac:dyDescent="0.25">
      <c r="AK74" s="8"/>
    </row>
    <row r="75" spans="37:37" x14ac:dyDescent="0.25">
      <c r="AK75" s="8"/>
    </row>
    <row r="76" spans="37:37" x14ac:dyDescent="0.25">
      <c r="AK76" s="8"/>
    </row>
    <row r="77" spans="37:37" x14ac:dyDescent="0.25">
      <c r="AK77" s="8"/>
    </row>
    <row r="78" spans="37:37" x14ac:dyDescent="0.25">
      <c r="AK78" s="8"/>
    </row>
    <row r="79" spans="37:37" x14ac:dyDescent="0.25">
      <c r="AK79" s="8"/>
    </row>
    <row r="80" spans="37:37" x14ac:dyDescent="0.25">
      <c r="AK80" s="8"/>
    </row>
    <row r="81" spans="37:37" x14ac:dyDescent="0.25">
      <c r="AK81" s="8"/>
    </row>
    <row r="82" spans="37:37" x14ac:dyDescent="0.25">
      <c r="AK82" s="8"/>
    </row>
    <row r="83" spans="37:37" x14ac:dyDescent="0.25">
      <c r="AK83" s="8"/>
    </row>
    <row r="84" spans="37:37" x14ac:dyDescent="0.25">
      <c r="AK84" s="8"/>
    </row>
    <row r="85" spans="37:37" x14ac:dyDescent="0.25">
      <c r="AK85" s="8"/>
    </row>
    <row r="86" spans="37:37" x14ac:dyDescent="0.25">
      <c r="AK86" s="8"/>
    </row>
    <row r="87" spans="37:37" x14ac:dyDescent="0.25">
      <c r="AK87" s="8"/>
    </row>
    <row r="88" spans="37:37" x14ac:dyDescent="0.25">
      <c r="AK88" s="8"/>
    </row>
    <row r="89" spans="37:37" x14ac:dyDescent="0.25">
      <c r="AK89" s="8"/>
    </row>
    <row r="90" spans="37:37" x14ac:dyDescent="0.25">
      <c r="AK90" s="8"/>
    </row>
    <row r="91" spans="37:37" x14ac:dyDescent="0.25">
      <c r="AK91" s="8"/>
    </row>
    <row r="92" spans="37:37" x14ac:dyDescent="0.25">
      <c r="AK92" s="8"/>
    </row>
    <row r="93" spans="37:37" x14ac:dyDescent="0.25">
      <c r="AK93" s="8"/>
    </row>
    <row r="94" spans="37:37" x14ac:dyDescent="0.25">
      <c r="AK94" s="8"/>
    </row>
    <row r="95" spans="37:37" x14ac:dyDescent="0.25">
      <c r="AK95" s="8"/>
    </row>
    <row r="96" spans="37:37" x14ac:dyDescent="0.25">
      <c r="AK96" s="8"/>
    </row>
    <row r="97" spans="37:37" x14ac:dyDescent="0.25">
      <c r="AK97" s="8"/>
    </row>
    <row r="98" spans="37:37" x14ac:dyDescent="0.25">
      <c r="AK98" s="8"/>
    </row>
    <row r="99" spans="37:37" x14ac:dyDescent="0.25">
      <c r="AK99" s="8"/>
    </row>
    <row r="100" spans="37:37" x14ac:dyDescent="0.25">
      <c r="AK100" s="8"/>
    </row>
    <row r="101" spans="37:37" x14ac:dyDescent="0.25">
      <c r="AK101" s="8"/>
    </row>
    <row r="102" spans="37:37" x14ac:dyDescent="0.25">
      <c r="AK102" s="8"/>
    </row>
    <row r="103" spans="37:37" x14ac:dyDescent="0.25">
      <c r="AK103" s="8"/>
    </row>
    <row r="104" spans="37:37" x14ac:dyDescent="0.25">
      <c r="AK104" s="8"/>
    </row>
    <row r="105" spans="37:37" x14ac:dyDescent="0.25">
      <c r="AK105" s="8"/>
    </row>
    <row r="106" spans="37:37" x14ac:dyDescent="0.25">
      <c r="AK106" s="8"/>
    </row>
    <row r="107" spans="37:37" x14ac:dyDescent="0.25">
      <c r="AK107" s="8"/>
    </row>
    <row r="108" spans="37:37" x14ac:dyDescent="0.25">
      <c r="AK108" s="8"/>
    </row>
    <row r="109" spans="37:37" x14ac:dyDescent="0.25">
      <c r="AK109" s="8"/>
    </row>
    <row r="110" spans="37:37" x14ac:dyDescent="0.25">
      <c r="AK110" s="8"/>
    </row>
    <row r="111" spans="37:37" x14ac:dyDescent="0.25">
      <c r="AK111" s="8"/>
    </row>
    <row r="112" spans="37:37" x14ac:dyDescent="0.25">
      <c r="AK112" s="8"/>
    </row>
    <row r="113" spans="37:37" x14ac:dyDescent="0.25">
      <c r="AK113" s="8"/>
    </row>
    <row r="114" spans="37:37" x14ac:dyDescent="0.25">
      <c r="AK114" s="8"/>
    </row>
    <row r="115" spans="37:37" x14ac:dyDescent="0.25">
      <c r="AK115" s="8"/>
    </row>
    <row r="116" spans="37:37" x14ac:dyDescent="0.25">
      <c r="AK116" s="8"/>
    </row>
    <row r="117" spans="37:37" x14ac:dyDescent="0.25">
      <c r="AK117" s="8"/>
    </row>
    <row r="118" spans="37:37" x14ac:dyDescent="0.25">
      <c r="AK118" s="8"/>
    </row>
    <row r="119" spans="37:37" x14ac:dyDescent="0.25">
      <c r="AK119" s="8"/>
    </row>
    <row r="120" spans="37:37" x14ac:dyDescent="0.25">
      <c r="AK120" s="8"/>
    </row>
    <row r="121" spans="37:37" x14ac:dyDescent="0.25">
      <c r="AK121" s="8"/>
    </row>
    <row r="122" spans="37:37" x14ac:dyDescent="0.25">
      <c r="AK122" s="8"/>
    </row>
    <row r="123" spans="37:37" x14ac:dyDescent="0.25">
      <c r="AK123" s="8"/>
    </row>
    <row r="124" spans="37:37" x14ac:dyDescent="0.25">
      <c r="AK124" s="8"/>
    </row>
    <row r="125" spans="37:37" x14ac:dyDescent="0.25">
      <c r="AK125" s="8"/>
    </row>
    <row r="126" spans="37:37" x14ac:dyDescent="0.25">
      <c r="AK126" s="8"/>
    </row>
    <row r="127" spans="37:37" x14ac:dyDescent="0.25">
      <c r="AK127" s="8"/>
    </row>
    <row r="128" spans="37:37" x14ac:dyDescent="0.25">
      <c r="AK128" s="8"/>
    </row>
    <row r="129" spans="37:37" x14ac:dyDescent="0.25">
      <c r="AK129" s="8"/>
    </row>
    <row r="130" spans="37:37" x14ac:dyDescent="0.25">
      <c r="AK130" s="8"/>
    </row>
    <row r="131" spans="37:37" x14ac:dyDescent="0.25">
      <c r="AK131" s="8"/>
    </row>
    <row r="132" spans="37:37" x14ac:dyDescent="0.25">
      <c r="AK132" s="8"/>
    </row>
    <row r="133" spans="37:37" x14ac:dyDescent="0.25">
      <c r="AK133" s="8"/>
    </row>
    <row r="134" spans="37:37" x14ac:dyDescent="0.25">
      <c r="AK134" s="8"/>
    </row>
    <row r="135" spans="37:37" x14ac:dyDescent="0.25">
      <c r="AK135" s="8"/>
    </row>
    <row r="136" spans="37:37" x14ac:dyDescent="0.25">
      <c r="AK136" s="8"/>
    </row>
    <row r="137" spans="37:37" x14ac:dyDescent="0.25">
      <c r="AK137" s="8"/>
    </row>
    <row r="138" spans="37:37" x14ac:dyDescent="0.25">
      <c r="AK138" s="8"/>
    </row>
    <row r="139" spans="37:37" x14ac:dyDescent="0.25">
      <c r="AK139" s="8"/>
    </row>
    <row r="140" spans="37:37" x14ac:dyDescent="0.25">
      <c r="AK140" s="8"/>
    </row>
    <row r="141" spans="37:37" x14ac:dyDescent="0.25">
      <c r="AK141" s="8"/>
    </row>
    <row r="142" spans="37:37" x14ac:dyDescent="0.25">
      <c r="AK142" s="8"/>
    </row>
    <row r="143" spans="37:37" x14ac:dyDescent="0.25">
      <c r="AK143" s="8"/>
    </row>
    <row r="144" spans="37:37" x14ac:dyDescent="0.25">
      <c r="AK144" s="8"/>
    </row>
    <row r="145" spans="37:37" x14ac:dyDescent="0.25">
      <c r="AK145" s="8"/>
    </row>
    <row r="146" spans="37:37" x14ac:dyDescent="0.25">
      <c r="AK146" s="8"/>
    </row>
    <row r="147" spans="37:37" x14ac:dyDescent="0.25">
      <c r="AK147" s="8"/>
    </row>
    <row r="148" spans="37:37" x14ac:dyDescent="0.25">
      <c r="AK148" s="8"/>
    </row>
    <row r="149" spans="37:37" x14ac:dyDescent="0.25">
      <c r="AK149" s="8"/>
    </row>
    <row r="150" spans="37:37" x14ac:dyDescent="0.25">
      <c r="AK150" s="8"/>
    </row>
    <row r="151" spans="37:37" x14ac:dyDescent="0.25">
      <c r="AK151" s="8"/>
    </row>
    <row r="152" spans="37:37" x14ac:dyDescent="0.25">
      <c r="AK152" s="8"/>
    </row>
    <row r="153" spans="37:37" x14ac:dyDescent="0.25">
      <c r="AK153" s="8"/>
    </row>
    <row r="154" spans="37:37" x14ac:dyDescent="0.25">
      <c r="AK154" s="8"/>
    </row>
    <row r="155" spans="37:37" x14ac:dyDescent="0.25">
      <c r="AK155" s="8"/>
    </row>
    <row r="156" spans="37:37" x14ac:dyDescent="0.25">
      <c r="AK156" s="8"/>
    </row>
    <row r="157" spans="37:37" x14ac:dyDescent="0.25">
      <c r="AK157" s="8"/>
    </row>
    <row r="158" spans="37:37" x14ac:dyDescent="0.25">
      <c r="AK158" s="8"/>
    </row>
    <row r="159" spans="37:37" x14ac:dyDescent="0.25">
      <c r="AK159" s="8"/>
    </row>
    <row r="160" spans="37:37" x14ac:dyDescent="0.25">
      <c r="AK160" s="8"/>
    </row>
    <row r="161" spans="37:37" x14ac:dyDescent="0.25">
      <c r="AK161" s="8"/>
    </row>
    <row r="162" spans="37:37" x14ac:dyDescent="0.25">
      <c r="AK162" s="8"/>
    </row>
    <row r="163" spans="37:37" x14ac:dyDescent="0.25">
      <c r="AK163" s="8"/>
    </row>
    <row r="164" spans="37:37" x14ac:dyDescent="0.25">
      <c r="AK164" s="8"/>
    </row>
    <row r="165" spans="37:37" x14ac:dyDescent="0.25">
      <c r="AK165" s="8"/>
    </row>
    <row r="166" spans="37:37" x14ac:dyDescent="0.25">
      <c r="AK166" s="8"/>
    </row>
    <row r="167" spans="37:37" x14ac:dyDescent="0.25">
      <c r="AK167" s="8"/>
    </row>
    <row r="168" spans="37:37" x14ac:dyDescent="0.25">
      <c r="AK168" s="8"/>
    </row>
    <row r="169" spans="37:37" x14ac:dyDescent="0.25">
      <c r="AK169" s="8"/>
    </row>
    <row r="170" spans="37:37" x14ac:dyDescent="0.25">
      <c r="AK170" s="8"/>
    </row>
    <row r="171" spans="37:37" x14ac:dyDescent="0.25">
      <c r="AK171" s="8"/>
    </row>
    <row r="172" spans="37:37" x14ac:dyDescent="0.25">
      <c r="AK172" s="8"/>
    </row>
    <row r="173" spans="37:37" x14ac:dyDescent="0.25">
      <c r="AK173" s="8"/>
    </row>
    <row r="174" spans="37:37" x14ac:dyDescent="0.25">
      <c r="AK174" s="8"/>
    </row>
    <row r="175" spans="37:37" x14ac:dyDescent="0.25">
      <c r="AK175" s="8"/>
    </row>
    <row r="176" spans="37:37" x14ac:dyDescent="0.25">
      <c r="AK176" s="8"/>
    </row>
    <row r="177" spans="37:37" x14ac:dyDescent="0.25">
      <c r="AK177" s="8"/>
    </row>
    <row r="178" spans="37:37" x14ac:dyDescent="0.25">
      <c r="AK178" s="8"/>
    </row>
    <row r="179" spans="37:37" x14ac:dyDescent="0.25">
      <c r="AK179" s="8"/>
    </row>
    <row r="180" spans="37:37" x14ac:dyDescent="0.25">
      <c r="AK180" s="8"/>
    </row>
    <row r="181" spans="37:37" x14ac:dyDescent="0.25">
      <c r="AK181" s="8"/>
    </row>
    <row r="182" spans="37:37" x14ac:dyDescent="0.25">
      <c r="AK182" s="8"/>
    </row>
    <row r="183" spans="37:37" x14ac:dyDescent="0.25">
      <c r="AK183" s="8"/>
    </row>
    <row r="184" spans="37:37" x14ac:dyDescent="0.25">
      <c r="AK184" s="8"/>
    </row>
    <row r="185" spans="37:37" x14ac:dyDescent="0.25">
      <c r="AK185" s="8"/>
    </row>
    <row r="186" spans="37:37" x14ac:dyDescent="0.25">
      <c r="AK186" s="8"/>
    </row>
    <row r="187" spans="37:37" x14ac:dyDescent="0.25">
      <c r="AK187" s="8"/>
    </row>
    <row r="188" spans="37:37" x14ac:dyDescent="0.25">
      <c r="AK188" s="8"/>
    </row>
    <row r="189" spans="37:37" x14ac:dyDescent="0.25">
      <c r="AK189" s="8"/>
    </row>
    <row r="190" spans="37:37" x14ac:dyDescent="0.25">
      <c r="AK190" s="8"/>
    </row>
    <row r="191" spans="37:37" x14ac:dyDescent="0.25">
      <c r="AK191" s="8"/>
    </row>
    <row r="192" spans="37:37" x14ac:dyDescent="0.25">
      <c r="AK192" s="8"/>
    </row>
    <row r="193" spans="37:37" x14ac:dyDescent="0.25">
      <c r="AK193" s="8"/>
    </row>
    <row r="194" spans="37:37" x14ac:dyDescent="0.25">
      <c r="AK194" s="8"/>
    </row>
    <row r="195" spans="37:37" x14ac:dyDescent="0.25">
      <c r="AK195" s="8"/>
    </row>
    <row r="196" spans="37:37" x14ac:dyDescent="0.25">
      <c r="AK196" s="8"/>
    </row>
    <row r="197" spans="37:37" x14ac:dyDescent="0.25">
      <c r="AK197" s="8"/>
    </row>
    <row r="198" spans="37:37" x14ac:dyDescent="0.25">
      <c r="AK198" s="8"/>
    </row>
    <row r="199" spans="37:37" x14ac:dyDescent="0.25">
      <c r="AK199" s="8"/>
    </row>
    <row r="200" spans="37:37" x14ac:dyDescent="0.25">
      <c r="AK200" s="8"/>
    </row>
    <row r="201" spans="37:37" x14ac:dyDescent="0.25">
      <c r="AK201" s="8"/>
    </row>
    <row r="202" spans="37:37" x14ac:dyDescent="0.25">
      <c r="AK202" s="8"/>
    </row>
    <row r="203" spans="37:37" x14ac:dyDescent="0.25">
      <c r="AK203" s="8"/>
    </row>
    <row r="204" spans="37:37" x14ac:dyDescent="0.25">
      <c r="AK204" s="8"/>
    </row>
    <row r="205" spans="37:37" x14ac:dyDescent="0.25">
      <c r="AK205" s="8"/>
    </row>
    <row r="206" spans="37:37" x14ac:dyDescent="0.25">
      <c r="AK206" s="8"/>
    </row>
    <row r="207" spans="37:37" x14ac:dyDescent="0.25">
      <c r="AK207" s="8"/>
    </row>
    <row r="208" spans="37:37" x14ac:dyDescent="0.25">
      <c r="AK208" s="8"/>
    </row>
    <row r="209" spans="37:37" x14ac:dyDescent="0.25">
      <c r="AK209" s="8"/>
    </row>
    <row r="210" spans="37:37" x14ac:dyDescent="0.25">
      <c r="AK210" s="8"/>
    </row>
    <row r="211" spans="37:37" x14ac:dyDescent="0.25">
      <c r="AK211" s="8"/>
    </row>
    <row r="212" spans="37:37" x14ac:dyDescent="0.25">
      <c r="AK212" s="8"/>
    </row>
    <row r="213" spans="37:37" x14ac:dyDescent="0.25">
      <c r="AK213" s="8"/>
    </row>
    <row r="214" spans="37:37" x14ac:dyDescent="0.25">
      <c r="AK214" s="8"/>
    </row>
    <row r="215" spans="37:37" x14ac:dyDescent="0.25">
      <c r="AK215" s="8"/>
    </row>
    <row r="216" spans="37:37" x14ac:dyDescent="0.25">
      <c r="AK216" s="8"/>
    </row>
    <row r="217" spans="37:37" x14ac:dyDescent="0.25">
      <c r="AK217" s="8"/>
    </row>
    <row r="218" spans="37:37" x14ac:dyDescent="0.25">
      <c r="AK218" s="8"/>
    </row>
    <row r="219" spans="37:37" x14ac:dyDescent="0.25">
      <c r="AK219" s="8"/>
    </row>
    <row r="220" spans="37:37" x14ac:dyDescent="0.25">
      <c r="AK220" s="8"/>
    </row>
    <row r="221" spans="37:37" x14ac:dyDescent="0.25">
      <c r="AK221" s="8"/>
    </row>
    <row r="222" spans="37:37" x14ac:dyDescent="0.25">
      <c r="AK222" s="8"/>
    </row>
    <row r="223" spans="37:37" x14ac:dyDescent="0.25">
      <c r="AK223" s="8"/>
    </row>
    <row r="224" spans="37:37" x14ac:dyDescent="0.25">
      <c r="AK224" s="8"/>
    </row>
    <row r="225" spans="37:37" x14ac:dyDescent="0.25">
      <c r="AK225" s="8"/>
    </row>
    <row r="226" spans="37:37" x14ac:dyDescent="0.25">
      <c r="AK226" s="8"/>
    </row>
    <row r="227" spans="37:37" x14ac:dyDescent="0.25">
      <c r="AK227" s="8"/>
    </row>
    <row r="228" spans="37:37" x14ac:dyDescent="0.25">
      <c r="AK228" s="8"/>
    </row>
    <row r="229" spans="37:37" x14ac:dyDescent="0.25">
      <c r="AK229" s="8"/>
    </row>
    <row r="230" spans="37:37" x14ac:dyDescent="0.25">
      <c r="AK230" s="8"/>
    </row>
    <row r="231" spans="37:37" x14ac:dyDescent="0.25">
      <c r="AK231" s="8"/>
    </row>
    <row r="232" spans="37:37" x14ac:dyDescent="0.25">
      <c r="AK232" s="8"/>
    </row>
    <row r="233" spans="37:37" x14ac:dyDescent="0.25">
      <c r="AK233" s="8"/>
    </row>
    <row r="234" spans="37:37" x14ac:dyDescent="0.25">
      <c r="AK234" s="8"/>
    </row>
    <row r="235" spans="37:37" x14ac:dyDescent="0.25">
      <c r="AK235" s="8"/>
    </row>
    <row r="236" spans="37:37" x14ac:dyDescent="0.25">
      <c r="AK236" s="8"/>
    </row>
    <row r="237" spans="37:37" x14ac:dyDescent="0.25">
      <c r="AK237" s="8"/>
    </row>
    <row r="238" spans="37:37" x14ac:dyDescent="0.25">
      <c r="AK238" s="8"/>
    </row>
    <row r="239" spans="37:37" x14ac:dyDescent="0.25">
      <c r="AK239" s="8"/>
    </row>
    <row r="240" spans="37:37" x14ac:dyDescent="0.25">
      <c r="AK240" s="8"/>
    </row>
    <row r="241" spans="37:37" x14ac:dyDescent="0.25">
      <c r="AK241" s="8"/>
    </row>
    <row r="242" spans="37:37" x14ac:dyDescent="0.25">
      <c r="AK242" s="8"/>
    </row>
    <row r="243" spans="37:37" x14ac:dyDescent="0.25">
      <c r="AK243" s="8"/>
    </row>
    <row r="244" spans="37:37" x14ac:dyDescent="0.25">
      <c r="AK244" s="8"/>
    </row>
    <row r="245" spans="37:37" x14ac:dyDescent="0.25">
      <c r="AK245" s="8"/>
    </row>
    <row r="246" spans="37:37" x14ac:dyDescent="0.25">
      <c r="AK246" s="8"/>
    </row>
    <row r="247" spans="37:37" x14ac:dyDescent="0.25">
      <c r="AK247" s="8"/>
    </row>
    <row r="248" spans="37:37" x14ac:dyDescent="0.25">
      <c r="AK248" s="8"/>
    </row>
    <row r="249" spans="37:37" x14ac:dyDescent="0.25">
      <c r="AK249" s="8"/>
    </row>
    <row r="250" spans="37:37" x14ac:dyDescent="0.25">
      <c r="AK250" s="8"/>
    </row>
    <row r="251" spans="37:37" x14ac:dyDescent="0.25">
      <c r="AK251" s="8"/>
    </row>
    <row r="252" spans="37:37" x14ac:dyDescent="0.25">
      <c r="AK252" s="8"/>
    </row>
    <row r="253" spans="37:37" x14ac:dyDescent="0.25">
      <c r="AK253" s="8"/>
    </row>
    <row r="254" spans="37:37" x14ac:dyDescent="0.25">
      <c r="AK254" s="8"/>
    </row>
    <row r="255" spans="37:37" x14ac:dyDescent="0.25">
      <c r="AK255" s="8"/>
    </row>
    <row r="256" spans="37:37" x14ac:dyDescent="0.25">
      <c r="AK256" s="8"/>
    </row>
    <row r="257" spans="37:37" x14ac:dyDescent="0.25">
      <c r="AK257" s="8"/>
    </row>
    <row r="258" spans="37:37" x14ac:dyDescent="0.25">
      <c r="AK258" s="8"/>
    </row>
    <row r="259" spans="37:37" x14ac:dyDescent="0.25">
      <c r="AK259" s="8"/>
    </row>
    <row r="260" spans="37:37" x14ac:dyDescent="0.25">
      <c r="AK260" s="8"/>
    </row>
    <row r="261" spans="37:37" x14ac:dyDescent="0.25">
      <c r="AK261" s="8"/>
    </row>
    <row r="262" spans="37:37" x14ac:dyDescent="0.25">
      <c r="AK262" s="8"/>
    </row>
    <row r="263" spans="37:37" x14ac:dyDescent="0.25">
      <c r="AK263" s="8"/>
    </row>
    <row r="264" spans="37:37" x14ac:dyDescent="0.25">
      <c r="AK264" s="8"/>
    </row>
    <row r="265" spans="37:37" x14ac:dyDescent="0.25">
      <c r="AK265" s="8"/>
    </row>
    <row r="266" spans="37:37" x14ac:dyDescent="0.25">
      <c r="AK266" s="8"/>
    </row>
    <row r="267" spans="37:37" x14ac:dyDescent="0.25">
      <c r="AK267" s="8"/>
    </row>
    <row r="268" spans="37:37" x14ac:dyDescent="0.25">
      <c r="AK268" s="8"/>
    </row>
    <row r="269" spans="37:37" x14ac:dyDescent="0.25">
      <c r="AK269" s="8"/>
    </row>
    <row r="270" spans="37:37" x14ac:dyDescent="0.25">
      <c r="AK270" s="8"/>
    </row>
    <row r="271" spans="37:37" x14ac:dyDescent="0.25">
      <c r="AK271" s="8"/>
    </row>
    <row r="272" spans="37:37" x14ac:dyDescent="0.25">
      <c r="AK272" s="8"/>
    </row>
    <row r="273" spans="37:37" x14ac:dyDescent="0.25">
      <c r="AK273" s="8"/>
    </row>
    <row r="274" spans="37:37" x14ac:dyDescent="0.25">
      <c r="AK274" s="8"/>
    </row>
    <row r="275" spans="37:37" x14ac:dyDescent="0.25">
      <c r="AK275" s="8"/>
    </row>
    <row r="276" spans="37:37" x14ac:dyDescent="0.25">
      <c r="AK276" s="8"/>
    </row>
    <row r="277" spans="37:37" x14ac:dyDescent="0.25">
      <c r="AK277" s="8"/>
    </row>
    <row r="278" spans="37:37" x14ac:dyDescent="0.25">
      <c r="AK278" s="8"/>
    </row>
    <row r="279" spans="37:37" x14ac:dyDescent="0.25">
      <c r="AK279" s="8"/>
    </row>
    <row r="280" spans="37:37" x14ac:dyDescent="0.25">
      <c r="AK280" s="8"/>
    </row>
    <row r="281" spans="37:37" x14ac:dyDescent="0.25">
      <c r="AK281" s="8"/>
    </row>
    <row r="282" spans="37:37" x14ac:dyDescent="0.25">
      <c r="AK282" s="8"/>
    </row>
    <row r="283" spans="37:37" x14ac:dyDescent="0.25">
      <c r="AK283" s="8"/>
    </row>
    <row r="284" spans="37:37" x14ac:dyDescent="0.25">
      <c r="AK284" s="8"/>
    </row>
    <row r="285" spans="37:37" x14ac:dyDescent="0.25">
      <c r="AK285" s="8"/>
    </row>
    <row r="286" spans="37:37" x14ac:dyDescent="0.25">
      <c r="AK286" s="8"/>
    </row>
    <row r="287" spans="37:37" x14ac:dyDescent="0.25">
      <c r="AK287" s="8"/>
    </row>
    <row r="288" spans="37:37" x14ac:dyDescent="0.25">
      <c r="AK288" s="8"/>
    </row>
    <row r="289" spans="37:37" x14ac:dyDescent="0.25">
      <c r="AK289" s="8"/>
    </row>
    <row r="290" spans="37:37" x14ac:dyDescent="0.25">
      <c r="AK290" s="8"/>
    </row>
    <row r="291" spans="37:37" x14ac:dyDescent="0.25">
      <c r="AK291" s="8"/>
    </row>
    <row r="292" spans="37:37" x14ac:dyDescent="0.25">
      <c r="AK292" s="8"/>
    </row>
    <row r="293" spans="37:37" x14ac:dyDescent="0.25">
      <c r="AK293" s="8"/>
    </row>
    <row r="294" spans="37:37" x14ac:dyDescent="0.25">
      <c r="AK294" s="8"/>
    </row>
    <row r="295" spans="37:37" x14ac:dyDescent="0.25">
      <c r="AK295" s="8"/>
    </row>
    <row r="296" spans="37:37" x14ac:dyDescent="0.25">
      <c r="AK296" s="8"/>
    </row>
    <row r="297" spans="37:37" x14ac:dyDescent="0.25">
      <c r="AK297" s="8"/>
    </row>
    <row r="298" spans="37:37" x14ac:dyDescent="0.25">
      <c r="AK298" s="8"/>
    </row>
    <row r="299" spans="37:37" x14ac:dyDescent="0.25">
      <c r="AK299" s="8"/>
    </row>
    <row r="300" spans="37:37" x14ac:dyDescent="0.25">
      <c r="AK300" s="8"/>
    </row>
    <row r="301" spans="37:37" x14ac:dyDescent="0.25">
      <c r="AK301" s="8"/>
    </row>
    <row r="302" spans="37:37" x14ac:dyDescent="0.25">
      <c r="AK302" s="8"/>
    </row>
    <row r="303" spans="37:37" x14ac:dyDescent="0.25">
      <c r="AK303" s="8"/>
    </row>
    <row r="304" spans="37:37" x14ac:dyDescent="0.25">
      <c r="AK304" s="8"/>
    </row>
    <row r="305" spans="37:37" x14ac:dyDescent="0.25">
      <c r="AK305" s="8"/>
    </row>
    <row r="306" spans="37:37" x14ac:dyDescent="0.25">
      <c r="AK306" s="8"/>
    </row>
    <row r="307" spans="37:37" x14ac:dyDescent="0.25">
      <c r="AK307" s="8"/>
    </row>
    <row r="308" spans="37:37" x14ac:dyDescent="0.25">
      <c r="AK308" s="8"/>
    </row>
    <row r="309" spans="37:37" x14ac:dyDescent="0.25">
      <c r="AK309" s="8"/>
    </row>
    <row r="310" spans="37:37" x14ac:dyDescent="0.25">
      <c r="AK310" s="8"/>
    </row>
    <row r="311" spans="37:37" x14ac:dyDescent="0.25">
      <c r="AK311" s="8"/>
    </row>
    <row r="312" spans="37:37" x14ac:dyDescent="0.25">
      <c r="AK312" s="8"/>
    </row>
    <row r="313" spans="37:37" x14ac:dyDescent="0.25">
      <c r="AK313" s="8"/>
    </row>
    <row r="314" spans="37:37" x14ac:dyDescent="0.25">
      <c r="AK314" s="8"/>
    </row>
    <row r="315" spans="37:37" x14ac:dyDescent="0.25">
      <c r="AK315" s="8"/>
    </row>
    <row r="316" spans="37:37" x14ac:dyDescent="0.25">
      <c r="AK316" s="8"/>
    </row>
    <row r="317" spans="37:37" x14ac:dyDescent="0.25">
      <c r="AK317" s="8"/>
    </row>
    <row r="318" spans="37:37" x14ac:dyDescent="0.25">
      <c r="AK318" s="8"/>
    </row>
    <row r="319" spans="37:37" x14ac:dyDescent="0.25">
      <c r="AK319" s="8"/>
    </row>
    <row r="320" spans="37:37" x14ac:dyDescent="0.25">
      <c r="AK320" s="8"/>
    </row>
    <row r="321" spans="37:37" x14ac:dyDescent="0.25">
      <c r="AK321" s="8"/>
    </row>
    <row r="322" spans="37:37" x14ac:dyDescent="0.25">
      <c r="AK322" s="8"/>
    </row>
    <row r="323" spans="37:37" x14ac:dyDescent="0.25">
      <c r="AK323" s="8"/>
    </row>
    <row r="324" spans="37:37" x14ac:dyDescent="0.25">
      <c r="AK324" s="8"/>
    </row>
  </sheetData>
  <mergeCells count="63">
    <mergeCell ref="AK2:AK3"/>
    <mergeCell ref="AL1:AO1"/>
    <mergeCell ref="AP1:AP3"/>
    <mergeCell ref="AL2:AL3"/>
    <mergeCell ref="AM2:AM3"/>
    <mergeCell ref="AN2:AN3"/>
    <mergeCell ref="AO2:AO3"/>
    <mergeCell ref="AJ2:AJ3"/>
    <mergeCell ref="AD1:AJ1"/>
    <mergeCell ref="AI2:AI3"/>
    <mergeCell ref="AD2:AD3"/>
    <mergeCell ref="AE2:AE3"/>
    <mergeCell ref="AF2:AF3"/>
    <mergeCell ref="AG2:AG3"/>
    <mergeCell ref="AH2:AH3"/>
    <mergeCell ref="AC2:AC3"/>
    <mergeCell ref="U1:AB1"/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X2:Z2"/>
    <mergeCell ref="AA2:AA3"/>
    <mergeCell ref="AB2:AB3"/>
    <mergeCell ref="C1:D1"/>
    <mergeCell ref="E1:K1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L1:T1"/>
    <mergeCell ref="AS2:AS3"/>
    <mergeCell ref="AQ1:AS1"/>
    <mergeCell ref="AT2:AT3"/>
    <mergeCell ref="AQ2:AQ3"/>
    <mergeCell ref="AR2:AR3"/>
    <mergeCell ref="BB2:BB3"/>
    <mergeCell ref="BC2:BC3"/>
    <mergeCell ref="BD2:BD3"/>
    <mergeCell ref="AV1:BD1"/>
    <mergeCell ref="AU2:AU3"/>
    <mergeCell ref="AT1:AU1"/>
    <mergeCell ref="BA2:BA3"/>
    <mergeCell ref="AX2:AX3"/>
    <mergeCell ref="AY2:AY3"/>
    <mergeCell ref="AV2:AV3"/>
    <mergeCell ref="AW2:AW3"/>
    <mergeCell ref="AZ2:AZ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B1C7-3330-4029-988E-391F723C7A76}">
  <dimension ref="A1:U38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11" sqref="U11"/>
    </sheetView>
  </sheetViews>
  <sheetFormatPr baseColWidth="10" defaultRowHeight="15" x14ac:dyDescent="0.25"/>
  <cols>
    <col min="1" max="1" width="5.42578125" style="8" customWidth="1"/>
    <col min="2" max="2" width="18" style="8" customWidth="1"/>
    <col min="3" max="3" width="14.28515625" customWidth="1"/>
    <col min="4" max="4" width="13.85546875" style="8" customWidth="1"/>
    <col min="5" max="5" width="23.5703125" customWidth="1"/>
    <col min="6" max="6" width="12.7109375" style="8" customWidth="1"/>
    <col min="7" max="7" width="14.7109375" style="8" customWidth="1"/>
    <col min="8" max="8" width="24.85546875" style="8" customWidth="1"/>
    <col min="9" max="9" width="15.42578125" customWidth="1"/>
    <col min="10" max="16" width="15.85546875" customWidth="1"/>
    <col min="17" max="17" width="26" customWidth="1"/>
    <col min="18" max="18" width="19.5703125" style="8" customWidth="1"/>
    <col min="19" max="19" width="21.140625" customWidth="1"/>
    <col min="20" max="20" width="23" customWidth="1"/>
    <col min="21" max="21" width="21.7109375" customWidth="1"/>
  </cols>
  <sheetData>
    <row r="1" spans="1:21" ht="42" customHeight="1" x14ac:dyDescent="0.25">
      <c r="A1" s="135" t="s">
        <v>3</v>
      </c>
      <c r="B1" s="137" t="s">
        <v>208</v>
      </c>
      <c r="C1" s="137" t="s">
        <v>5</v>
      </c>
      <c r="D1" s="138"/>
      <c r="E1" s="166" t="s">
        <v>210</v>
      </c>
      <c r="F1" s="167"/>
      <c r="G1" s="166" t="s">
        <v>207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</row>
    <row r="2" spans="1:21" s="5" customFormat="1" ht="48.75" customHeight="1" x14ac:dyDescent="0.25">
      <c r="A2" s="136"/>
      <c r="B2" s="134"/>
      <c r="C2" s="133" t="s">
        <v>6</v>
      </c>
      <c r="D2" s="139" t="s">
        <v>7</v>
      </c>
      <c r="E2" s="156" t="s">
        <v>221</v>
      </c>
      <c r="F2" s="134" t="s">
        <v>209</v>
      </c>
      <c r="G2" s="155" t="s">
        <v>211</v>
      </c>
      <c r="H2" s="161"/>
      <c r="I2" s="155" t="s">
        <v>212</v>
      </c>
      <c r="J2" s="161"/>
      <c r="K2" s="16"/>
      <c r="L2" s="16"/>
      <c r="M2" s="16"/>
      <c r="N2" s="16"/>
      <c r="O2" s="16"/>
      <c r="P2" s="16"/>
      <c r="Q2" s="134" t="s">
        <v>23</v>
      </c>
      <c r="R2" s="155" t="s">
        <v>213</v>
      </c>
      <c r="S2" s="168"/>
      <c r="T2" s="161"/>
      <c r="U2" s="134" t="s">
        <v>23</v>
      </c>
    </row>
    <row r="3" spans="1:21" s="5" customFormat="1" ht="48.75" customHeight="1" x14ac:dyDescent="0.25">
      <c r="A3" s="136"/>
      <c r="B3" s="134"/>
      <c r="C3" s="133"/>
      <c r="D3" s="139"/>
      <c r="E3" s="156"/>
      <c r="F3" s="134"/>
      <c r="G3" s="39" t="s">
        <v>217</v>
      </c>
      <c r="H3" s="39" t="s">
        <v>218</v>
      </c>
      <c r="I3" s="14" t="s">
        <v>226</v>
      </c>
      <c r="J3" s="14" t="s">
        <v>219</v>
      </c>
      <c r="K3" s="14" t="s">
        <v>228</v>
      </c>
      <c r="L3" s="14" t="s">
        <v>231</v>
      </c>
      <c r="M3" s="14" t="s">
        <v>230</v>
      </c>
      <c r="N3" s="14" t="s">
        <v>232</v>
      </c>
      <c r="O3" s="14" t="s">
        <v>229</v>
      </c>
      <c r="P3" s="14" t="s">
        <v>233</v>
      </c>
      <c r="Q3" s="134"/>
      <c r="R3" s="18" t="s">
        <v>214</v>
      </c>
      <c r="S3" s="16" t="s">
        <v>215</v>
      </c>
      <c r="T3" s="14" t="s">
        <v>216</v>
      </c>
      <c r="U3" s="134"/>
    </row>
    <row r="4" spans="1:21" s="38" customFormat="1" ht="60" x14ac:dyDescent="0.25">
      <c r="A4" s="6">
        <v>1</v>
      </c>
      <c r="B4" s="6" t="s">
        <v>220</v>
      </c>
      <c r="C4" s="6" t="s">
        <v>222</v>
      </c>
      <c r="D4" s="6" t="s">
        <v>223</v>
      </c>
      <c r="E4" s="6">
        <v>432</v>
      </c>
      <c r="F4" s="6">
        <v>1</v>
      </c>
      <c r="G4" s="6" t="s">
        <v>224</v>
      </c>
      <c r="H4" s="6" t="s">
        <v>225</v>
      </c>
      <c r="I4" s="6">
        <v>6</v>
      </c>
      <c r="J4" s="6" t="s">
        <v>227</v>
      </c>
      <c r="K4" s="6" t="s">
        <v>234</v>
      </c>
      <c r="L4" s="6">
        <v>1</v>
      </c>
      <c r="M4" s="6">
        <v>1</v>
      </c>
      <c r="N4" s="6">
        <v>6</v>
      </c>
      <c r="O4" s="6" t="s">
        <v>236</v>
      </c>
      <c r="P4" s="6" t="s">
        <v>235</v>
      </c>
      <c r="Q4" s="6" t="s">
        <v>237</v>
      </c>
      <c r="R4" s="6" t="s">
        <v>239</v>
      </c>
      <c r="S4" s="6" t="s">
        <v>238</v>
      </c>
      <c r="T4" s="6" t="s">
        <v>310</v>
      </c>
      <c r="U4" s="6" t="s">
        <v>237</v>
      </c>
    </row>
    <row r="5" spans="1:21" s="5" customFormat="1" x14ac:dyDescent="0.25">
      <c r="A5" s="13"/>
      <c r="B5" s="13"/>
      <c r="D5" s="13"/>
      <c r="E5" s="13"/>
      <c r="F5" s="13"/>
      <c r="G5" s="13"/>
      <c r="H5" s="13"/>
      <c r="Q5" s="37"/>
      <c r="R5" s="13"/>
      <c r="S5" s="37"/>
      <c r="T5" s="37"/>
      <c r="U5" s="37"/>
    </row>
    <row r="6" spans="1:21" s="5" customFormat="1" x14ac:dyDescent="0.25">
      <c r="A6" s="13"/>
      <c r="B6" s="13"/>
      <c r="D6" s="13"/>
      <c r="E6" s="13"/>
      <c r="F6" s="13"/>
      <c r="G6" s="13"/>
      <c r="H6" s="13"/>
      <c r="Q6" s="37"/>
      <c r="R6" s="13"/>
      <c r="S6" s="37"/>
      <c r="T6" s="37"/>
      <c r="U6" s="37"/>
    </row>
    <row r="7" spans="1:21" s="5" customFormat="1" x14ac:dyDescent="0.25">
      <c r="A7" s="13"/>
      <c r="B7" s="13"/>
      <c r="D7" s="13"/>
      <c r="E7" s="13"/>
      <c r="F7" s="13"/>
      <c r="G7" s="13"/>
      <c r="H7" s="13"/>
      <c r="Q7" s="37"/>
      <c r="R7" s="13"/>
      <c r="S7" s="37"/>
      <c r="T7" s="37"/>
      <c r="U7" s="37"/>
    </row>
    <row r="8" spans="1:21" s="5" customFormat="1" x14ac:dyDescent="0.25">
      <c r="A8" s="13"/>
      <c r="B8" s="13"/>
      <c r="D8" s="13"/>
      <c r="E8" s="13"/>
      <c r="F8" s="13"/>
      <c r="G8" s="13"/>
      <c r="H8" s="13"/>
      <c r="O8" s="74"/>
      <c r="Q8" s="37"/>
      <c r="R8" s="13"/>
      <c r="S8" s="37"/>
      <c r="T8" s="37"/>
      <c r="U8" s="37"/>
    </row>
    <row r="9" spans="1:21" s="5" customFormat="1" x14ac:dyDescent="0.25">
      <c r="A9" s="13"/>
      <c r="B9" s="13"/>
      <c r="D9" s="13"/>
      <c r="E9" s="13"/>
      <c r="F9" s="13"/>
      <c r="G9" s="13"/>
      <c r="H9" s="13"/>
      <c r="O9" s="74"/>
      <c r="Q9" s="37"/>
      <c r="R9" s="13"/>
      <c r="S9" s="37"/>
      <c r="T9" s="37"/>
      <c r="U9" s="37"/>
    </row>
    <row r="10" spans="1:21" s="5" customFormat="1" x14ac:dyDescent="0.25">
      <c r="A10" s="13"/>
      <c r="B10" s="13"/>
      <c r="D10" s="13"/>
      <c r="E10" s="13"/>
      <c r="F10" s="38"/>
      <c r="G10" s="38"/>
      <c r="H10" s="38"/>
      <c r="I10" s="37"/>
      <c r="J10" s="37"/>
      <c r="K10" s="37"/>
      <c r="L10" s="37"/>
      <c r="M10" s="37"/>
      <c r="N10" s="37"/>
      <c r="O10" s="74"/>
      <c r="P10" s="37"/>
      <c r="Q10" s="37"/>
      <c r="R10" s="38"/>
      <c r="S10" s="37"/>
      <c r="T10" s="37"/>
      <c r="U10" s="37"/>
    </row>
    <row r="11" spans="1:21" s="5" customFormat="1" x14ac:dyDescent="0.25">
      <c r="A11" s="13"/>
      <c r="B11" s="13"/>
      <c r="D11" s="13"/>
      <c r="E11" s="13"/>
      <c r="F11" s="38"/>
      <c r="G11" s="38"/>
      <c r="H11" s="38"/>
      <c r="I11" s="37"/>
      <c r="J11" s="37"/>
      <c r="K11" s="37"/>
      <c r="L11" s="37"/>
      <c r="M11" s="37"/>
      <c r="N11" s="37"/>
      <c r="O11" s="74"/>
      <c r="P11" s="37"/>
      <c r="Q11" s="37"/>
      <c r="R11" s="38"/>
      <c r="S11" s="37"/>
      <c r="T11" s="37"/>
      <c r="U11" s="37"/>
    </row>
    <row r="12" spans="1:21" s="5" customFormat="1" x14ac:dyDescent="0.25">
      <c r="A12" s="13"/>
      <c r="B12" s="13"/>
      <c r="D12" s="13"/>
      <c r="E12" s="13"/>
      <c r="F12" s="38"/>
      <c r="G12" s="38"/>
      <c r="H12" s="38"/>
      <c r="I12" s="37"/>
      <c r="J12" s="37"/>
      <c r="K12" s="37"/>
      <c r="L12" s="37"/>
      <c r="M12" s="37"/>
      <c r="N12" s="37"/>
      <c r="O12" s="37"/>
      <c r="P12" s="37"/>
      <c r="Q12" s="37"/>
      <c r="R12" s="38"/>
      <c r="S12" s="37"/>
      <c r="T12" s="37"/>
      <c r="U12" s="37"/>
    </row>
    <row r="13" spans="1:21" s="5" customFormat="1" x14ac:dyDescent="0.25">
      <c r="A13" s="13"/>
      <c r="B13" s="13"/>
      <c r="D13" s="13"/>
      <c r="E13" s="13"/>
      <c r="F13" s="38"/>
      <c r="G13" s="38"/>
      <c r="H13" s="38"/>
      <c r="I13" s="37"/>
      <c r="J13" s="37"/>
      <c r="K13" s="37"/>
      <c r="L13" s="37"/>
      <c r="M13" s="37"/>
      <c r="N13" s="37"/>
      <c r="O13" s="37"/>
      <c r="P13" s="37"/>
      <c r="Q13" s="37"/>
      <c r="R13" s="38"/>
      <c r="S13" s="37"/>
      <c r="T13" s="37"/>
      <c r="U13" s="37"/>
    </row>
    <row r="14" spans="1:21" s="5" customFormat="1" x14ac:dyDescent="0.25">
      <c r="A14" s="13"/>
      <c r="B14" s="13"/>
      <c r="D14" s="13"/>
      <c r="E14" s="13"/>
      <c r="F14" s="38"/>
      <c r="G14" s="38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8"/>
      <c r="S14" s="37"/>
      <c r="T14" s="37"/>
      <c r="U14" s="37"/>
    </row>
    <row r="15" spans="1:21" s="5" customFormat="1" x14ac:dyDescent="0.25">
      <c r="A15" s="13"/>
      <c r="B15" s="13"/>
      <c r="D15" s="13"/>
      <c r="E15" s="13"/>
      <c r="F15" s="38"/>
      <c r="G15" s="38"/>
      <c r="H15" s="38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37"/>
      <c r="T15" s="37"/>
      <c r="U15" s="37"/>
    </row>
    <row r="16" spans="1:21" s="5" customFormat="1" x14ac:dyDescent="0.25">
      <c r="A16" s="13"/>
      <c r="B16" s="13"/>
      <c r="D16" s="13"/>
      <c r="E16" s="13"/>
      <c r="F16" s="38"/>
      <c r="G16" s="38"/>
      <c r="H16" s="38"/>
      <c r="I16" s="37"/>
      <c r="J16" s="37"/>
      <c r="K16" s="37"/>
      <c r="L16" s="37"/>
      <c r="M16" s="37"/>
      <c r="N16" s="37"/>
      <c r="O16" s="37"/>
      <c r="P16" s="37"/>
      <c r="Q16" s="37"/>
      <c r="R16" s="38"/>
      <c r="S16" s="37"/>
      <c r="T16" s="37"/>
      <c r="U16" s="37"/>
    </row>
    <row r="17" spans="1:21" s="5" customFormat="1" x14ac:dyDescent="0.25">
      <c r="A17" s="13"/>
      <c r="B17" s="13"/>
      <c r="D17" s="13"/>
      <c r="E17" s="13"/>
      <c r="F17" s="38"/>
      <c r="G17" s="38"/>
      <c r="H17" s="38"/>
      <c r="I17" s="37"/>
      <c r="J17" s="37"/>
      <c r="K17" s="37"/>
      <c r="L17" s="37"/>
      <c r="M17" s="37"/>
      <c r="N17" s="37"/>
      <c r="O17" s="37"/>
      <c r="P17" s="37"/>
      <c r="Q17" s="37"/>
      <c r="R17" s="38"/>
      <c r="S17" s="37"/>
      <c r="T17" s="37"/>
      <c r="U17" s="37"/>
    </row>
    <row r="18" spans="1:21" s="5" customFormat="1" x14ac:dyDescent="0.25">
      <c r="A18" s="13"/>
      <c r="B18" s="13"/>
      <c r="D18" s="13"/>
      <c r="E18" s="13"/>
      <c r="F18" s="38"/>
      <c r="G18" s="38"/>
      <c r="H18" s="38"/>
      <c r="I18" s="37"/>
      <c r="J18" s="37"/>
      <c r="K18" s="37"/>
      <c r="L18" s="37"/>
      <c r="M18" s="37"/>
      <c r="N18" s="37"/>
      <c r="O18" s="37"/>
      <c r="P18" s="37"/>
      <c r="Q18" s="37"/>
      <c r="R18" s="38"/>
      <c r="S18" s="37"/>
      <c r="T18" s="37"/>
      <c r="U18" s="37"/>
    </row>
    <row r="19" spans="1:21" s="5" customFormat="1" x14ac:dyDescent="0.25">
      <c r="A19" s="13"/>
      <c r="B19" s="13"/>
      <c r="D19" s="13"/>
      <c r="E19" s="13"/>
      <c r="F19" s="38"/>
      <c r="G19" s="38"/>
      <c r="H19" s="38"/>
      <c r="I19" s="37"/>
      <c r="J19" s="37"/>
      <c r="K19" s="37"/>
      <c r="L19" s="37"/>
      <c r="M19" s="37"/>
      <c r="N19" s="37"/>
      <c r="O19" s="37"/>
      <c r="P19" s="37"/>
      <c r="Q19" s="37"/>
      <c r="R19" s="38"/>
      <c r="S19" s="37"/>
      <c r="T19" s="37"/>
      <c r="U19" s="37"/>
    </row>
    <row r="20" spans="1:21" s="5" customFormat="1" x14ac:dyDescent="0.25">
      <c r="A20" s="13"/>
      <c r="B20" s="13"/>
      <c r="D20" s="13"/>
      <c r="E20" s="13"/>
      <c r="F20" s="38"/>
      <c r="G20" s="38"/>
      <c r="H20" s="38"/>
      <c r="I20" s="37"/>
      <c r="J20" s="37"/>
      <c r="K20" s="37"/>
      <c r="L20" s="37"/>
      <c r="M20" s="37"/>
      <c r="N20" s="37"/>
      <c r="O20" s="37"/>
      <c r="P20" s="37"/>
      <c r="Q20" s="37"/>
      <c r="R20" s="38"/>
      <c r="S20" s="37"/>
      <c r="T20" s="37"/>
      <c r="U20" s="37"/>
    </row>
    <row r="21" spans="1:21" s="5" customFormat="1" x14ac:dyDescent="0.25">
      <c r="A21" s="13"/>
      <c r="B21" s="13"/>
      <c r="D21" s="13"/>
      <c r="E21" s="13"/>
      <c r="F21" s="38"/>
      <c r="G21" s="38"/>
      <c r="H21" s="38"/>
      <c r="I21" s="37"/>
      <c r="J21" s="37"/>
      <c r="K21" s="37"/>
      <c r="L21" s="37"/>
      <c r="M21" s="37"/>
      <c r="N21" s="37"/>
      <c r="O21" s="37"/>
      <c r="P21" s="37"/>
      <c r="Q21" s="37"/>
      <c r="R21" s="38"/>
      <c r="S21" s="37"/>
      <c r="T21" s="37"/>
      <c r="U21" s="37"/>
    </row>
    <row r="22" spans="1:21" s="5" customFormat="1" ht="60" customHeight="1" x14ac:dyDescent="0.25">
      <c r="A22" s="13"/>
      <c r="B22" s="13"/>
      <c r="D22" s="13"/>
      <c r="E22" s="13"/>
      <c r="F22" s="38"/>
      <c r="G22" s="38"/>
      <c r="H22" s="38"/>
      <c r="I22" s="37"/>
      <c r="J22" s="37"/>
      <c r="K22" s="37"/>
      <c r="L22" s="37"/>
      <c r="M22" s="37"/>
      <c r="N22" s="37"/>
      <c r="O22" s="37"/>
      <c r="P22" s="37"/>
      <c r="Q22" s="37"/>
      <c r="R22" s="38"/>
      <c r="S22" s="37"/>
      <c r="T22" s="37"/>
      <c r="U22" s="37"/>
    </row>
    <row r="23" spans="1:21" s="5" customFormat="1" x14ac:dyDescent="0.25">
      <c r="A23" s="13"/>
      <c r="B23" s="13"/>
      <c r="D23" s="13"/>
      <c r="E23" s="13"/>
      <c r="F23" s="38"/>
      <c r="G23" s="38"/>
      <c r="H23" s="38"/>
      <c r="I23" s="37"/>
      <c r="J23" s="37"/>
      <c r="K23" s="37"/>
      <c r="L23" s="37"/>
      <c r="M23" s="37"/>
      <c r="N23" s="37"/>
      <c r="O23" s="37"/>
      <c r="P23" s="37"/>
      <c r="Q23" s="37"/>
      <c r="R23" s="38"/>
      <c r="S23" s="37"/>
      <c r="T23" s="37"/>
      <c r="U23" s="37"/>
    </row>
    <row r="24" spans="1:21" s="5" customFormat="1" x14ac:dyDescent="0.25">
      <c r="A24" s="13"/>
      <c r="B24" s="13"/>
      <c r="D24" s="13"/>
      <c r="E24" s="13"/>
      <c r="F24" s="38"/>
      <c r="G24" s="38"/>
      <c r="H24" s="38"/>
      <c r="I24" s="37"/>
      <c r="J24" s="37"/>
      <c r="K24" s="37"/>
      <c r="L24" s="37"/>
      <c r="M24" s="37"/>
      <c r="N24" s="37"/>
      <c r="O24" s="37"/>
      <c r="P24" s="37"/>
      <c r="Q24" s="37"/>
      <c r="R24" s="38"/>
      <c r="S24" s="37"/>
      <c r="T24" s="37"/>
      <c r="U24" s="37"/>
    </row>
    <row r="25" spans="1:21" s="5" customFormat="1" x14ac:dyDescent="0.25">
      <c r="A25" s="13"/>
      <c r="B25" s="13"/>
      <c r="D25" s="13"/>
      <c r="E25" s="13"/>
      <c r="F25" s="13"/>
      <c r="G25" s="13"/>
      <c r="H25" s="13"/>
      <c r="Q25" s="37"/>
      <c r="R25" s="13"/>
      <c r="S25" s="37"/>
      <c r="T25" s="37"/>
      <c r="U25" s="37"/>
    </row>
    <row r="26" spans="1:21" s="5" customFormat="1" x14ac:dyDescent="0.25">
      <c r="A26" s="13"/>
      <c r="B26" s="13"/>
      <c r="D26" s="13"/>
      <c r="E26" s="13"/>
      <c r="F26" s="13"/>
      <c r="G26" s="13"/>
      <c r="H26" s="13"/>
      <c r="Q26" s="37"/>
      <c r="R26" s="13"/>
      <c r="S26" s="37"/>
      <c r="T26" s="37"/>
      <c r="U26" s="37"/>
    </row>
    <row r="27" spans="1:21" s="5" customFormat="1" x14ac:dyDescent="0.25">
      <c r="A27" s="13"/>
      <c r="B27" s="13"/>
      <c r="D27" s="13"/>
      <c r="E27" s="13"/>
      <c r="F27" s="13"/>
      <c r="G27" s="13"/>
      <c r="H27" s="13"/>
      <c r="Q27" s="37"/>
      <c r="R27" s="13"/>
      <c r="S27" s="37"/>
      <c r="T27" s="37"/>
      <c r="U27" s="37"/>
    </row>
    <row r="28" spans="1:21" s="5" customFormat="1" x14ac:dyDescent="0.25">
      <c r="A28" s="13"/>
      <c r="B28" s="13"/>
      <c r="D28" s="13"/>
      <c r="E28" s="13"/>
      <c r="F28" s="13"/>
      <c r="G28" s="13"/>
      <c r="H28" s="13"/>
      <c r="Q28" s="37"/>
      <c r="R28" s="13"/>
      <c r="T28" s="37"/>
      <c r="U28" s="37"/>
    </row>
    <row r="29" spans="1:21" s="5" customFormat="1" x14ac:dyDescent="0.25">
      <c r="A29" s="13"/>
      <c r="B29" s="13"/>
      <c r="D29" s="13"/>
      <c r="E29" s="13"/>
      <c r="F29" s="13"/>
      <c r="G29" s="13"/>
      <c r="H29" s="13"/>
      <c r="Q29" s="37"/>
      <c r="R29" s="13"/>
      <c r="T29" s="37"/>
      <c r="U29" s="37"/>
    </row>
    <row r="30" spans="1:21" s="5" customFormat="1" x14ac:dyDescent="0.25">
      <c r="A30" s="13"/>
      <c r="B30" s="13"/>
      <c r="D30" s="13"/>
      <c r="E30" s="13"/>
      <c r="F30" s="13"/>
      <c r="G30" s="13"/>
      <c r="H30" s="13"/>
      <c r="Q30" s="37"/>
      <c r="R30" s="13"/>
      <c r="S30" s="37"/>
      <c r="T30" s="37"/>
      <c r="U30" s="37"/>
    </row>
    <row r="31" spans="1:21" s="5" customFormat="1" x14ac:dyDescent="0.25">
      <c r="A31" s="13"/>
      <c r="B31" s="13"/>
      <c r="D31" s="13"/>
      <c r="E31" s="13"/>
      <c r="F31" s="13"/>
      <c r="G31" s="13"/>
      <c r="H31" s="13"/>
      <c r="Q31" s="37"/>
      <c r="R31" s="13"/>
      <c r="S31" s="37"/>
      <c r="T31" s="37"/>
      <c r="U31" s="37"/>
    </row>
    <row r="32" spans="1:21" s="5" customFormat="1" x14ac:dyDescent="0.25">
      <c r="A32" s="13"/>
      <c r="B32" s="13"/>
      <c r="D32" s="13"/>
      <c r="E32" s="13"/>
      <c r="F32" s="13"/>
      <c r="G32" s="13"/>
      <c r="H32" s="13"/>
      <c r="Q32" s="37"/>
      <c r="R32" s="13"/>
      <c r="S32" s="37"/>
      <c r="T32" s="37"/>
      <c r="U32" s="37"/>
    </row>
    <row r="33" spans="1:21" x14ac:dyDescent="0.25">
      <c r="A33" s="13"/>
      <c r="C33" s="5"/>
      <c r="D33" s="13"/>
      <c r="E33" s="13"/>
      <c r="I33" s="5"/>
      <c r="J33" s="5"/>
      <c r="K33" s="5"/>
      <c r="L33" s="5"/>
      <c r="M33" s="5"/>
      <c r="N33" s="5"/>
      <c r="O33" s="5"/>
      <c r="P33" s="5"/>
      <c r="Q33" s="37"/>
      <c r="S33" s="5"/>
      <c r="T33" s="37"/>
      <c r="U33" s="37"/>
    </row>
    <row r="34" spans="1:21" x14ac:dyDescent="0.25">
      <c r="A34" s="13"/>
      <c r="C34" s="5"/>
      <c r="D34" s="13"/>
      <c r="E34" s="13"/>
      <c r="I34" s="5"/>
      <c r="J34" s="5"/>
      <c r="K34" s="5"/>
      <c r="L34" s="5"/>
      <c r="M34" s="5"/>
      <c r="N34" s="5"/>
      <c r="O34" s="5"/>
      <c r="P34" s="5"/>
      <c r="Q34" s="37"/>
      <c r="S34" s="5"/>
      <c r="T34" s="37"/>
      <c r="U34" s="37"/>
    </row>
    <row r="35" spans="1:21" x14ac:dyDescent="0.25">
      <c r="A35" s="13"/>
      <c r="C35" s="5"/>
      <c r="D35" s="13"/>
      <c r="E35" s="13"/>
      <c r="I35" s="5"/>
      <c r="J35" s="5"/>
      <c r="K35" s="5"/>
      <c r="L35" s="5"/>
      <c r="M35" s="5"/>
      <c r="N35" s="5"/>
      <c r="O35" s="5"/>
      <c r="P35" s="5"/>
      <c r="Q35" s="37"/>
      <c r="S35" s="37"/>
      <c r="T35" s="37"/>
      <c r="U35" s="37"/>
    </row>
    <row r="36" spans="1:21" x14ac:dyDescent="0.25">
      <c r="A36" s="13"/>
      <c r="B36" s="13"/>
      <c r="C36" s="5"/>
      <c r="D36" s="13"/>
      <c r="E36" s="13"/>
      <c r="F36" s="13"/>
      <c r="G36" s="13"/>
      <c r="H36" s="13"/>
      <c r="I36" s="5"/>
      <c r="J36" s="5"/>
      <c r="K36" s="5"/>
      <c r="L36" s="5"/>
      <c r="M36" s="5"/>
      <c r="N36" s="5"/>
      <c r="O36" s="5"/>
      <c r="P36" s="5"/>
      <c r="Q36" s="37"/>
      <c r="S36" s="5"/>
      <c r="T36" s="37"/>
      <c r="U36" s="37"/>
    </row>
    <row r="37" spans="1:21" s="8" customFormat="1" x14ac:dyDescent="0.25">
      <c r="A37" s="13"/>
      <c r="B37" s="13"/>
      <c r="C37" s="13"/>
      <c r="D37" s="13"/>
      <c r="E37" s="38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x14ac:dyDescent="0.25">
      <c r="A38" s="13"/>
      <c r="B38" s="13"/>
      <c r="C38" s="5"/>
      <c r="D38" s="13"/>
      <c r="E38" s="13"/>
      <c r="F38" s="13"/>
      <c r="G38" s="13"/>
      <c r="H38" s="13"/>
      <c r="I38" s="5"/>
      <c r="J38" s="5"/>
      <c r="K38" s="5"/>
      <c r="L38" s="5"/>
      <c r="M38" s="5"/>
      <c r="N38" s="5"/>
      <c r="O38" s="5"/>
      <c r="P38" s="5"/>
      <c r="Q38" s="37"/>
      <c r="R38" s="13"/>
      <c r="S38" s="13"/>
      <c r="T38" s="38"/>
      <c r="U38" s="38"/>
    </row>
  </sheetData>
  <mergeCells count="14">
    <mergeCell ref="A1:A3"/>
    <mergeCell ref="B1:B3"/>
    <mergeCell ref="C1:D1"/>
    <mergeCell ref="C2:C3"/>
    <mergeCell ref="D2:D3"/>
    <mergeCell ref="E1:F1"/>
    <mergeCell ref="R2:T2"/>
    <mergeCell ref="G2:H2"/>
    <mergeCell ref="I2:J2"/>
    <mergeCell ref="G1:U1"/>
    <mergeCell ref="U2:U3"/>
    <mergeCell ref="Q2:Q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7D8C-A890-4F55-8124-FBDE5DE7BCE5}">
  <dimension ref="A1:U123"/>
  <sheetViews>
    <sheetView topLeftCell="A107" workbookViewId="0">
      <selection activeCell="C18" sqref="C18"/>
    </sheetView>
  </sheetViews>
  <sheetFormatPr baseColWidth="10" defaultRowHeight="15" x14ac:dyDescent="0.25"/>
  <cols>
    <col min="1" max="1" width="24.28515625" customWidth="1"/>
    <col min="2" max="2" width="14.7109375" bestFit="1" customWidth="1"/>
    <col min="3" max="3" width="22.140625" customWidth="1"/>
    <col min="5" max="5" width="12.28515625" customWidth="1"/>
  </cols>
  <sheetData>
    <row r="1" spans="1:21" x14ac:dyDescent="0.25">
      <c r="A1" s="43" t="s">
        <v>240</v>
      </c>
      <c r="R1" s="134" t="s">
        <v>304</v>
      </c>
      <c r="S1" s="134" t="s">
        <v>303</v>
      </c>
    </row>
    <row r="2" spans="1:21" x14ac:dyDescent="0.25">
      <c r="R2" s="134"/>
      <c r="S2" s="134"/>
    </row>
    <row r="3" spans="1:21" x14ac:dyDescent="0.25">
      <c r="A3" s="45" t="s">
        <v>241</v>
      </c>
      <c r="B3" s="45" t="s">
        <v>242</v>
      </c>
      <c r="R3" s="70" t="s">
        <v>143</v>
      </c>
      <c r="S3" s="68">
        <v>0.89312499999999995</v>
      </c>
      <c r="T3" s="7" t="s">
        <v>307</v>
      </c>
      <c r="U3" s="7">
        <v>10</v>
      </c>
    </row>
    <row r="4" spans="1:21" ht="30" x14ac:dyDescent="0.25">
      <c r="A4" s="44" t="s">
        <v>243</v>
      </c>
      <c r="B4" s="44">
        <v>36</v>
      </c>
      <c r="R4" s="70" t="s">
        <v>143</v>
      </c>
      <c r="S4" s="68">
        <v>0.85749999999999993</v>
      </c>
      <c r="T4" s="7" t="s">
        <v>308</v>
      </c>
      <c r="U4" s="7">
        <v>17</v>
      </c>
    </row>
    <row r="5" spans="1:21" x14ac:dyDescent="0.25">
      <c r="A5" s="44" t="s">
        <v>244</v>
      </c>
      <c r="B5" s="44">
        <v>2257</v>
      </c>
      <c r="R5" s="70" t="s">
        <v>143</v>
      </c>
      <c r="S5" s="68">
        <v>0.89312499999999995</v>
      </c>
      <c r="T5" s="7" t="s">
        <v>154</v>
      </c>
      <c r="U5" s="7">
        <v>4</v>
      </c>
    </row>
    <row r="6" spans="1:21" x14ac:dyDescent="0.25">
      <c r="A6" s="44" t="s">
        <v>245</v>
      </c>
      <c r="B6" s="44">
        <v>101</v>
      </c>
      <c r="R6" s="70" t="s">
        <v>143</v>
      </c>
      <c r="S6" s="68">
        <v>0.89312499999999995</v>
      </c>
      <c r="T6" s="7" t="s">
        <v>309</v>
      </c>
      <c r="U6" s="7">
        <v>5</v>
      </c>
    </row>
    <row r="7" spans="1:21" ht="30" x14ac:dyDescent="0.25">
      <c r="A7" s="44" t="s">
        <v>246</v>
      </c>
      <c r="B7" s="44">
        <v>2.9</v>
      </c>
      <c r="R7" s="70" t="s">
        <v>143</v>
      </c>
      <c r="S7" s="68">
        <v>0.89312499999999995</v>
      </c>
    </row>
    <row r="8" spans="1:21" x14ac:dyDescent="0.25">
      <c r="A8" s="46"/>
      <c r="B8" s="46"/>
      <c r="R8" s="71" t="s">
        <v>305</v>
      </c>
      <c r="S8" s="68">
        <v>0.92874999999999996</v>
      </c>
    </row>
    <row r="9" spans="1:21" x14ac:dyDescent="0.25">
      <c r="A9" s="46"/>
      <c r="B9" s="46"/>
      <c r="R9" s="71" t="s">
        <v>305</v>
      </c>
      <c r="S9" s="68">
        <v>0.97</v>
      </c>
    </row>
    <row r="10" spans="1:21" x14ac:dyDescent="0.25">
      <c r="R10" s="70" t="s">
        <v>143</v>
      </c>
      <c r="S10" s="68">
        <v>0.89312499999999995</v>
      </c>
    </row>
    <row r="11" spans="1:21" x14ac:dyDescent="0.25">
      <c r="R11" s="70" t="s">
        <v>143</v>
      </c>
      <c r="S11" s="68">
        <v>0.80400000000000005</v>
      </c>
    </row>
    <row r="12" spans="1:21" ht="30" x14ac:dyDescent="0.25">
      <c r="A12" s="49" t="s">
        <v>247</v>
      </c>
      <c r="B12" s="48" t="s">
        <v>248</v>
      </c>
      <c r="C12" s="50" t="s">
        <v>249</v>
      </c>
      <c r="R12" s="71" t="s">
        <v>305</v>
      </c>
      <c r="S12" s="68">
        <v>0.92874999999999996</v>
      </c>
    </row>
    <row r="13" spans="1:21" ht="30" x14ac:dyDescent="0.25">
      <c r="A13" s="44" t="s">
        <v>250</v>
      </c>
      <c r="B13" s="47">
        <v>31</v>
      </c>
      <c r="C13" s="47">
        <v>88.6</v>
      </c>
      <c r="R13" s="70" t="s">
        <v>143</v>
      </c>
      <c r="S13" s="68">
        <v>0.85037499999999999</v>
      </c>
    </row>
    <row r="14" spans="1:21" ht="30" x14ac:dyDescent="0.25">
      <c r="A14" s="44" t="s">
        <v>251</v>
      </c>
      <c r="B14" s="47">
        <v>3</v>
      </c>
      <c r="C14" s="47">
        <v>8.6</v>
      </c>
      <c r="R14" s="70" t="s">
        <v>143</v>
      </c>
      <c r="S14" s="68">
        <v>0.85037499999999999</v>
      </c>
    </row>
    <row r="15" spans="1:21" ht="30" x14ac:dyDescent="0.25">
      <c r="A15" s="44" t="s">
        <v>252</v>
      </c>
      <c r="B15" s="47">
        <v>1</v>
      </c>
      <c r="C15" s="47">
        <v>2.8</v>
      </c>
      <c r="R15" s="72" t="s">
        <v>154</v>
      </c>
      <c r="S15" s="68">
        <v>0.66749999999999998</v>
      </c>
    </row>
    <row r="16" spans="1:21" ht="15.75" x14ac:dyDescent="0.25">
      <c r="A16" s="89" t="s">
        <v>253</v>
      </c>
      <c r="B16" s="89">
        <v>35</v>
      </c>
      <c r="C16" s="66">
        <v>100</v>
      </c>
      <c r="R16" s="72" t="s">
        <v>154</v>
      </c>
      <c r="S16" s="68">
        <v>0.66749999999999998</v>
      </c>
    </row>
    <row r="17" spans="1:19" x14ac:dyDescent="0.25">
      <c r="R17" s="72" t="s">
        <v>154</v>
      </c>
      <c r="S17" s="68">
        <v>0.66749999999999998</v>
      </c>
    </row>
    <row r="18" spans="1:19" x14ac:dyDescent="0.25">
      <c r="R18" s="71" t="s">
        <v>307</v>
      </c>
      <c r="S18" s="68">
        <v>0.9</v>
      </c>
    </row>
    <row r="19" spans="1:19" x14ac:dyDescent="0.25">
      <c r="R19" s="73" t="s">
        <v>306</v>
      </c>
      <c r="S19" s="68">
        <v>0.76249999999999996</v>
      </c>
    </row>
    <row r="20" spans="1:19" ht="35.25" customHeight="1" x14ac:dyDescent="0.25">
      <c r="A20" s="51" t="s">
        <v>254</v>
      </c>
      <c r="B20" s="51" t="s">
        <v>255</v>
      </c>
      <c r="C20" s="51" t="s">
        <v>256</v>
      </c>
      <c r="D20" s="50" t="s">
        <v>249</v>
      </c>
      <c r="R20" s="73" t="s">
        <v>306</v>
      </c>
      <c r="S20" s="68">
        <v>0.76249999999999996</v>
      </c>
    </row>
    <row r="21" spans="1:19" ht="30" x14ac:dyDescent="0.25">
      <c r="A21" s="47" t="s">
        <v>117</v>
      </c>
      <c r="B21" s="57">
        <v>30</v>
      </c>
      <c r="C21" s="47" t="s">
        <v>257</v>
      </c>
      <c r="D21" s="93">
        <f>(B21*100)/B25</f>
        <v>83.333333333333329</v>
      </c>
      <c r="R21" s="73" t="s">
        <v>306</v>
      </c>
      <c r="S21" s="68">
        <v>0.76249999999999996</v>
      </c>
    </row>
    <row r="22" spans="1:19" x14ac:dyDescent="0.25">
      <c r="A22" s="47" t="s">
        <v>258</v>
      </c>
      <c r="B22" s="58">
        <v>1</v>
      </c>
      <c r="C22" s="47" t="s">
        <v>259</v>
      </c>
      <c r="D22" s="93">
        <f>(B22*100)/B25</f>
        <v>2.7777777777777777</v>
      </c>
      <c r="R22" s="71" t="s">
        <v>307</v>
      </c>
      <c r="S22" s="68">
        <v>0.94</v>
      </c>
    </row>
    <row r="23" spans="1:19" x14ac:dyDescent="0.25">
      <c r="A23" s="47" t="s">
        <v>260</v>
      </c>
      <c r="B23" s="59">
        <v>1</v>
      </c>
      <c r="C23" s="47" t="s">
        <v>259</v>
      </c>
      <c r="D23" s="93">
        <f>(B23*100)/B25</f>
        <v>2.7777777777777777</v>
      </c>
      <c r="R23" s="71" t="s">
        <v>307</v>
      </c>
      <c r="S23" s="68">
        <v>0.92500000000000004</v>
      </c>
    </row>
    <row r="24" spans="1:19" x14ac:dyDescent="0.25">
      <c r="A24" s="52" t="s">
        <v>321</v>
      </c>
      <c r="B24" s="94">
        <v>4</v>
      </c>
      <c r="C24" s="52"/>
      <c r="D24" s="93">
        <f>(B24*100)/B25</f>
        <v>11.111111111111111</v>
      </c>
      <c r="R24" s="71"/>
      <c r="S24" s="68"/>
    </row>
    <row r="25" spans="1:19" ht="15.75" x14ac:dyDescent="0.25">
      <c r="A25" s="52" t="s">
        <v>253</v>
      </c>
      <c r="B25" s="84">
        <f>SUM(B21:B24)</f>
        <v>36</v>
      </c>
      <c r="C25" s="52"/>
      <c r="R25" s="70" t="s">
        <v>143</v>
      </c>
      <c r="S25" s="68">
        <v>0.89500000000000002</v>
      </c>
    </row>
    <row r="26" spans="1:19" x14ac:dyDescent="0.25">
      <c r="A26" s="52"/>
      <c r="B26" s="52"/>
      <c r="C26" s="52"/>
      <c r="R26" s="71" t="s">
        <v>307</v>
      </c>
      <c r="S26" s="68">
        <v>0.95499999999999996</v>
      </c>
    </row>
    <row r="27" spans="1:19" x14ac:dyDescent="0.25">
      <c r="A27" s="51" t="s">
        <v>15</v>
      </c>
      <c r="B27" s="51" t="s">
        <v>268</v>
      </c>
      <c r="C27" s="51" t="s">
        <v>295</v>
      </c>
      <c r="R27" s="73" t="s">
        <v>306</v>
      </c>
      <c r="S27" s="68">
        <v>0.76249999999999996</v>
      </c>
    </row>
    <row r="28" spans="1:19" x14ac:dyDescent="0.25">
      <c r="A28" s="47" t="s">
        <v>265</v>
      </c>
      <c r="B28" s="57">
        <v>23</v>
      </c>
      <c r="C28" s="64">
        <f>(B28*100)/B34</f>
        <v>40.350877192982459</v>
      </c>
      <c r="R28" s="73" t="s">
        <v>306</v>
      </c>
      <c r="S28" s="68">
        <v>0.76249999999999996</v>
      </c>
    </row>
    <row r="29" spans="1:19" ht="36" customHeight="1" x14ac:dyDescent="0.25">
      <c r="A29" s="47" t="s">
        <v>266</v>
      </c>
      <c r="B29" s="58">
        <v>13</v>
      </c>
      <c r="C29" s="64">
        <f>(B29*100)/B34</f>
        <v>22.807017543859651</v>
      </c>
      <c r="R29" s="71" t="s">
        <v>307</v>
      </c>
      <c r="S29" s="68">
        <v>0.9</v>
      </c>
    </row>
    <row r="30" spans="1:19" ht="16.5" customHeight="1" x14ac:dyDescent="0.25">
      <c r="A30" s="47" t="s">
        <v>200</v>
      </c>
      <c r="B30" s="57">
        <v>1</v>
      </c>
      <c r="C30" s="64">
        <f>(B30*100)/B34</f>
        <v>1.7543859649122806</v>
      </c>
      <c r="R30" s="70" t="s">
        <v>143</v>
      </c>
      <c r="S30" s="68">
        <v>0.82187500000000002</v>
      </c>
    </row>
    <row r="31" spans="1:19" ht="35.25" customHeight="1" x14ac:dyDescent="0.25">
      <c r="A31" s="47" t="s">
        <v>267</v>
      </c>
      <c r="B31" s="59">
        <v>9</v>
      </c>
      <c r="C31" s="64">
        <f>(B31*100)/B34</f>
        <v>15.789473684210526</v>
      </c>
      <c r="R31" s="72" t="s">
        <v>154</v>
      </c>
      <c r="S31" s="68">
        <v>0.67937500000000006</v>
      </c>
    </row>
    <row r="32" spans="1:19" x14ac:dyDescent="0.25">
      <c r="A32" s="47" t="s">
        <v>195</v>
      </c>
      <c r="B32" s="47">
        <v>10</v>
      </c>
      <c r="C32" s="64">
        <f>(B32*100)/B34</f>
        <v>17.543859649122808</v>
      </c>
      <c r="R32" s="70" t="s">
        <v>143</v>
      </c>
      <c r="S32" s="68">
        <v>0.89500000000000002</v>
      </c>
    </row>
    <row r="33" spans="1:19" x14ac:dyDescent="0.25">
      <c r="A33" s="63" t="s">
        <v>185</v>
      </c>
      <c r="B33" s="63">
        <v>1</v>
      </c>
      <c r="C33" s="64">
        <f t="shared" ref="C33" si="0">(B33*100)/B39</f>
        <v>3.225806451612903</v>
      </c>
      <c r="R33" s="70" t="s">
        <v>143</v>
      </c>
      <c r="S33" s="68">
        <v>0.89500000000000002</v>
      </c>
    </row>
    <row r="34" spans="1:19" x14ac:dyDescent="0.25">
      <c r="A34" s="47" t="s">
        <v>253</v>
      </c>
      <c r="B34" s="47">
        <f>SUM(B28:B33)</f>
        <v>57</v>
      </c>
      <c r="C34" s="64">
        <f>(B34*100)/B34</f>
        <v>100</v>
      </c>
      <c r="R34" s="70" t="s">
        <v>143</v>
      </c>
      <c r="S34" s="68">
        <v>0.85299999999999998</v>
      </c>
    </row>
    <row r="35" spans="1:19" x14ac:dyDescent="0.25">
      <c r="R35" s="70" t="s">
        <v>143</v>
      </c>
      <c r="S35" s="68">
        <v>0.89312499999999995</v>
      </c>
    </row>
    <row r="36" spans="1:19" ht="31.5" customHeight="1" x14ac:dyDescent="0.25">
      <c r="A36" s="51" t="s">
        <v>263</v>
      </c>
      <c r="B36" s="51" t="s">
        <v>0</v>
      </c>
      <c r="C36" s="51" t="s">
        <v>2</v>
      </c>
      <c r="D36" s="51" t="s">
        <v>264</v>
      </c>
      <c r="E36" s="51" t="s">
        <v>195</v>
      </c>
      <c r="F36" s="51" t="s">
        <v>185</v>
      </c>
      <c r="R36" s="71" t="s">
        <v>307</v>
      </c>
      <c r="S36" s="68">
        <v>0.98124999999999996</v>
      </c>
    </row>
    <row r="37" spans="1:19" x14ac:dyDescent="0.25">
      <c r="A37" s="47" t="s">
        <v>261</v>
      </c>
      <c r="B37" s="47">
        <v>26</v>
      </c>
      <c r="C37" s="47">
        <v>3</v>
      </c>
      <c r="D37" s="47">
        <v>2</v>
      </c>
      <c r="E37" s="47">
        <v>4</v>
      </c>
      <c r="F37" s="47">
        <v>1</v>
      </c>
      <c r="R37" s="70" t="s">
        <v>143</v>
      </c>
      <c r="S37" s="68">
        <v>0.89312499999999995</v>
      </c>
    </row>
    <row r="38" spans="1:19" x14ac:dyDescent="0.25">
      <c r="A38" s="47" t="s">
        <v>262</v>
      </c>
      <c r="B38" s="47">
        <v>30</v>
      </c>
      <c r="C38" s="47">
        <v>1</v>
      </c>
      <c r="D38" s="47">
        <v>0</v>
      </c>
      <c r="E38" s="47">
        <v>4</v>
      </c>
      <c r="F38" s="47">
        <v>1</v>
      </c>
      <c r="R38" s="71" t="s">
        <v>307</v>
      </c>
      <c r="S38" s="68">
        <v>0.95499999999999996</v>
      </c>
    </row>
    <row r="39" spans="1:19" ht="30" x14ac:dyDescent="0.25">
      <c r="A39" s="47" t="s">
        <v>133</v>
      </c>
      <c r="B39" s="47">
        <v>31</v>
      </c>
      <c r="C39" s="47">
        <v>0</v>
      </c>
      <c r="D39" s="47">
        <v>0</v>
      </c>
      <c r="E39" s="47">
        <v>4</v>
      </c>
      <c r="F39" s="47">
        <v>1</v>
      </c>
      <c r="R39" s="70" t="s">
        <v>143</v>
      </c>
      <c r="S39" s="68">
        <v>0.89312499999999995</v>
      </c>
    </row>
    <row r="41" spans="1:19" x14ac:dyDescent="0.25">
      <c r="A41" s="51" t="s">
        <v>269</v>
      </c>
      <c r="B41" s="82" t="s">
        <v>279</v>
      </c>
      <c r="C41" s="51" t="s">
        <v>295</v>
      </c>
    </row>
    <row r="42" spans="1:19" x14ac:dyDescent="0.25">
      <c r="A42" s="47" t="s">
        <v>270</v>
      </c>
      <c r="B42" s="83">
        <v>19</v>
      </c>
      <c r="C42" s="67">
        <f>(B42*100)/B47</f>
        <v>54.285714285714285</v>
      </c>
    </row>
    <row r="43" spans="1:19" ht="30" x14ac:dyDescent="0.25">
      <c r="A43" s="47" t="s">
        <v>271</v>
      </c>
      <c r="B43" s="83">
        <v>12</v>
      </c>
      <c r="C43" s="69">
        <f>(B43*100)/B47</f>
        <v>34.285714285714285</v>
      </c>
    </row>
    <row r="44" spans="1:19" x14ac:dyDescent="0.25">
      <c r="A44" s="47" t="s">
        <v>272</v>
      </c>
      <c r="B44" s="83">
        <v>1</v>
      </c>
      <c r="C44" s="67">
        <f>(B44*100)/B47</f>
        <v>2.8571428571428572</v>
      </c>
    </row>
    <row r="45" spans="1:19" x14ac:dyDescent="0.25">
      <c r="A45" s="47" t="s">
        <v>195</v>
      </c>
      <c r="B45" s="83">
        <v>2</v>
      </c>
      <c r="C45" s="67">
        <f>(B45*100)/B47</f>
        <v>5.7142857142857144</v>
      </c>
    </row>
    <row r="46" spans="1:19" x14ac:dyDescent="0.25">
      <c r="A46" s="47" t="s">
        <v>185</v>
      </c>
      <c r="B46" s="83">
        <v>1</v>
      </c>
      <c r="C46" s="67">
        <f>(B46*100)/B47</f>
        <v>2.8571428571428572</v>
      </c>
    </row>
    <row r="47" spans="1:19" ht="15.75" x14ac:dyDescent="0.25">
      <c r="A47" s="66" t="s">
        <v>253</v>
      </c>
      <c r="B47" s="66">
        <f>SUM(B42:B46)</f>
        <v>35</v>
      </c>
      <c r="C47" s="85">
        <f>(B47*100)/B47</f>
        <v>100</v>
      </c>
    </row>
    <row r="49" spans="1:3" ht="30" x14ac:dyDescent="0.25">
      <c r="A49" s="51" t="s">
        <v>19</v>
      </c>
      <c r="B49" s="51" t="s">
        <v>280</v>
      </c>
      <c r="C49" s="51" t="s">
        <v>295</v>
      </c>
    </row>
    <row r="50" spans="1:3" x14ac:dyDescent="0.25">
      <c r="A50" s="47" t="s">
        <v>174</v>
      </c>
      <c r="B50" s="47">
        <v>31</v>
      </c>
      <c r="C50" s="67">
        <f>(B50*100)/B53</f>
        <v>86.111111111111114</v>
      </c>
    </row>
    <row r="51" spans="1:3" x14ac:dyDescent="0.25">
      <c r="A51" s="47" t="s">
        <v>281</v>
      </c>
      <c r="B51" s="47">
        <v>4</v>
      </c>
      <c r="C51" s="67">
        <f>(B51*100)/B53</f>
        <v>11.111111111111111</v>
      </c>
    </row>
    <row r="52" spans="1:3" x14ac:dyDescent="0.25">
      <c r="A52" s="47" t="s">
        <v>185</v>
      </c>
      <c r="B52" s="47">
        <v>1</v>
      </c>
      <c r="C52" s="67">
        <f>(B52*100)/B53</f>
        <v>2.7777777777777777</v>
      </c>
    </row>
    <row r="53" spans="1:3" ht="15.75" x14ac:dyDescent="0.25">
      <c r="A53" s="66" t="s">
        <v>253</v>
      </c>
      <c r="B53" s="66">
        <f>SUM(B50:B52)</f>
        <v>36</v>
      </c>
      <c r="C53" s="85">
        <f>(B53*100)/B53</f>
        <v>100</v>
      </c>
    </row>
    <row r="55" spans="1:3" ht="30" x14ac:dyDescent="0.25">
      <c r="A55" s="51" t="s">
        <v>286</v>
      </c>
      <c r="B55" s="51" t="s">
        <v>280</v>
      </c>
      <c r="C55" s="51" t="s">
        <v>295</v>
      </c>
    </row>
    <row r="56" spans="1:3" x14ac:dyDescent="0.25">
      <c r="A56" s="47" t="s">
        <v>287</v>
      </c>
      <c r="B56" s="47">
        <v>27</v>
      </c>
      <c r="C56" s="7">
        <f>(B56*100)/B59</f>
        <v>75</v>
      </c>
    </row>
    <row r="57" spans="1:3" x14ac:dyDescent="0.25">
      <c r="A57" s="47" t="s">
        <v>322</v>
      </c>
      <c r="B57" s="47">
        <v>8</v>
      </c>
      <c r="C57" s="67">
        <f>(B57*100)/B59</f>
        <v>22.222222222222221</v>
      </c>
    </row>
    <row r="58" spans="1:3" x14ac:dyDescent="0.25">
      <c r="A58" s="6" t="s">
        <v>185</v>
      </c>
      <c r="B58" s="6">
        <v>1</v>
      </c>
      <c r="C58" s="81">
        <f>(B58*100)/B59</f>
        <v>2.7777777777777777</v>
      </c>
    </row>
    <row r="59" spans="1:3" x14ac:dyDescent="0.25">
      <c r="A59" s="56" t="s">
        <v>253</v>
      </c>
      <c r="B59" s="56">
        <f>SUM(B56:B58)</f>
        <v>36</v>
      </c>
      <c r="C59" s="56">
        <f>(B59*100)/B59</f>
        <v>100</v>
      </c>
    </row>
    <row r="61" spans="1:3" ht="30" x14ac:dyDescent="0.25">
      <c r="A61" s="51" t="s">
        <v>21</v>
      </c>
      <c r="B61" s="51" t="s">
        <v>280</v>
      </c>
      <c r="C61" s="51" t="s">
        <v>295</v>
      </c>
    </row>
    <row r="62" spans="1:3" x14ac:dyDescent="0.25">
      <c r="A62" s="2" t="s">
        <v>143</v>
      </c>
      <c r="B62" s="7">
        <v>7</v>
      </c>
      <c r="C62" s="67">
        <f>(B62*100)/B66</f>
        <v>19.444444444444443</v>
      </c>
    </row>
    <row r="63" spans="1:3" x14ac:dyDescent="0.25">
      <c r="A63" s="2" t="s">
        <v>289</v>
      </c>
      <c r="B63" s="7">
        <v>22</v>
      </c>
      <c r="C63" s="67">
        <f>(B63*100)/B66</f>
        <v>61.111111111111114</v>
      </c>
    </row>
    <row r="64" spans="1:3" x14ac:dyDescent="0.25">
      <c r="A64" s="2" t="s">
        <v>154</v>
      </c>
      <c r="B64" s="7">
        <v>6</v>
      </c>
      <c r="C64" s="67">
        <f>(B64*100)/B66</f>
        <v>16.666666666666668</v>
      </c>
    </row>
    <row r="65" spans="1:3" x14ac:dyDescent="0.25">
      <c r="A65" s="55" t="s">
        <v>185</v>
      </c>
      <c r="B65" s="7">
        <v>1</v>
      </c>
      <c r="C65" s="67">
        <f>(B65*100)/B66</f>
        <v>2.7777777777777777</v>
      </c>
    </row>
    <row r="66" spans="1:3" ht="15.75" x14ac:dyDescent="0.25">
      <c r="A66" s="65" t="s">
        <v>253</v>
      </c>
      <c r="B66" s="56">
        <f>SUM(B62:B65)</f>
        <v>36</v>
      </c>
      <c r="C66" s="85">
        <f>(B66*100)/B66</f>
        <v>100</v>
      </c>
    </row>
    <row r="68" spans="1:3" ht="30" x14ac:dyDescent="0.25">
      <c r="A68" s="51" t="s">
        <v>177</v>
      </c>
      <c r="B68" s="51" t="s">
        <v>280</v>
      </c>
      <c r="C68" s="51" t="s">
        <v>295</v>
      </c>
    </row>
    <row r="69" spans="1:3" x14ac:dyDescent="0.25">
      <c r="A69" s="2" t="s">
        <v>143</v>
      </c>
      <c r="B69" s="7">
        <v>7</v>
      </c>
      <c r="C69" s="67">
        <f>(B69*100)/B73</f>
        <v>20.588235294117649</v>
      </c>
    </row>
    <row r="70" spans="1:3" x14ac:dyDescent="0.25">
      <c r="A70" s="2" t="s">
        <v>289</v>
      </c>
      <c r="B70" s="7">
        <v>23</v>
      </c>
      <c r="C70" s="67">
        <f>(B70*100)/B73</f>
        <v>67.647058823529406</v>
      </c>
    </row>
    <row r="71" spans="1:3" x14ac:dyDescent="0.25">
      <c r="A71" s="2" t="s">
        <v>154</v>
      </c>
      <c r="B71" s="7">
        <v>3</v>
      </c>
      <c r="C71" s="67">
        <f>(B71*100)/B73</f>
        <v>8.8235294117647065</v>
      </c>
    </row>
    <row r="72" spans="1:3" x14ac:dyDescent="0.25">
      <c r="A72" s="55" t="s">
        <v>185</v>
      </c>
      <c r="B72" s="7">
        <v>1</v>
      </c>
      <c r="C72" s="67">
        <f>(B72*100)/B73</f>
        <v>2.9411764705882355</v>
      </c>
    </row>
    <row r="73" spans="1:3" ht="15.75" x14ac:dyDescent="0.25">
      <c r="A73" s="65" t="s">
        <v>253</v>
      </c>
      <c r="B73" s="56">
        <f>SUM(B69:B72)</f>
        <v>34</v>
      </c>
      <c r="C73" s="85">
        <f>(B73*100)/B73</f>
        <v>100</v>
      </c>
    </row>
    <row r="75" spans="1:3" ht="30" x14ac:dyDescent="0.25">
      <c r="A75" s="51" t="s">
        <v>290</v>
      </c>
      <c r="B75" s="51" t="s">
        <v>280</v>
      </c>
      <c r="C75" s="51" t="s">
        <v>295</v>
      </c>
    </row>
    <row r="76" spans="1:3" x14ac:dyDescent="0.25">
      <c r="A76" s="2" t="s">
        <v>151</v>
      </c>
      <c r="B76" s="7">
        <v>2</v>
      </c>
      <c r="C76" s="67">
        <f>(B76*100)/B80</f>
        <v>5.7142857142857144</v>
      </c>
    </row>
    <row r="77" spans="1:3" x14ac:dyDescent="0.25">
      <c r="A77" s="2" t="s">
        <v>134</v>
      </c>
      <c r="B77" s="7">
        <v>17</v>
      </c>
      <c r="C77" s="67">
        <f>(B77*100)/B80</f>
        <v>48.571428571428569</v>
      </c>
    </row>
    <row r="78" spans="1:3" x14ac:dyDescent="0.25">
      <c r="A78" s="2" t="s">
        <v>297</v>
      </c>
      <c r="B78" s="7">
        <v>11</v>
      </c>
      <c r="C78" s="67">
        <f>(B78*100)/B80</f>
        <v>31.428571428571427</v>
      </c>
    </row>
    <row r="79" spans="1:3" x14ac:dyDescent="0.25">
      <c r="A79" s="2" t="s">
        <v>185</v>
      </c>
      <c r="B79" s="7">
        <v>5</v>
      </c>
      <c r="C79" s="67">
        <f>(B79*100)/B80</f>
        <v>14.285714285714286</v>
      </c>
    </row>
    <row r="80" spans="1:3" x14ac:dyDescent="0.25">
      <c r="A80" s="56" t="s">
        <v>253</v>
      </c>
      <c r="B80" s="56">
        <f>SUM(B76:B79)</f>
        <v>35</v>
      </c>
      <c r="C80" s="67">
        <f>(B80*100)/B80</f>
        <v>100</v>
      </c>
    </row>
    <row r="82" spans="1:3" ht="30" x14ac:dyDescent="0.25">
      <c r="A82" s="51" t="s">
        <v>23</v>
      </c>
      <c r="B82" s="51" t="s">
        <v>280</v>
      </c>
      <c r="C82" s="51" t="s">
        <v>295</v>
      </c>
    </row>
    <row r="83" spans="1:3" ht="33.75" customHeight="1" x14ac:dyDescent="0.25">
      <c r="A83" s="4" t="s">
        <v>157</v>
      </c>
      <c r="B83" s="9">
        <v>1</v>
      </c>
      <c r="C83" s="69">
        <f>(B83*100)/B89</f>
        <v>5.2631578947368425</v>
      </c>
    </row>
    <row r="84" spans="1:3" ht="21.75" customHeight="1" x14ac:dyDescent="0.25">
      <c r="A84" s="4" t="s">
        <v>128</v>
      </c>
      <c r="B84" s="9">
        <v>12</v>
      </c>
      <c r="C84" s="69">
        <f>(B84*100)/B89</f>
        <v>63.157894736842103</v>
      </c>
    </row>
    <row r="85" spans="1:3" x14ac:dyDescent="0.25">
      <c r="A85" s="4" t="s">
        <v>291</v>
      </c>
      <c r="B85" s="9">
        <v>2</v>
      </c>
      <c r="C85" s="69">
        <f>(B85*100)/B89</f>
        <v>10.526315789473685</v>
      </c>
    </row>
    <row r="86" spans="1:3" ht="33.75" customHeight="1" x14ac:dyDescent="0.25">
      <c r="A86" s="4" t="s">
        <v>146</v>
      </c>
      <c r="B86" s="9">
        <v>2</v>
      </c>
      <c r="C86" s="69">
        <f>(B86*100)/B89</f>
        <v>10.526315789473685</v>
      </c>
    </row>
    <row r="87" spans="1:3" ht="30" x14ac:dyDescent="0.25">
      <c r="A87" s="4" t="s">
        <v>144</v>
      </c>
      <c r="B87" s="9">
        <v>1</v>
      </c>
      <c r="C87" s="69">
        <f>(B87*100)/B89</f>
        <v>5.2631578947368425</v>
      </c>
    </row>
    <row r="88" spans="1:3" x14ac:dyDescent="0.25">
      <c r="A88" s="4" t="s">
        <v>185</v>
      </c>
      <c r="B88" s="9">
        <v>1</v>
      </c>
      <c r="C88" s="69">
        <f>(B88*100)/B89</f>
        <v>5.2631578947368425</v>
      </c>
    </row>
    <row r="89" spans="1:3" x14ac:dyDescent="0.25">
      <c r="A89" s="54" t="s">
        <v>253</v>
      </c>
      <c r="B89" s="56">
        <f>SUM(B83:B88)</f>
        <v>19</v>
      </c>
      <c r="C89" s="69">
        <f>(B89*100)/B89</f>
        <v>100</v>
      </c>
    </row>
    <row r="91" spans="1:3" ht="30" x14ac:dyDescent="0.25">
      <c r="A91" s="51" t="s">
        <v>24</v>
      </c>
      <c r="B91" s="51" t="s">
        <v>280</v>
      </c>
      <c r="C91" s="51" t="s">
        <v>295</v>
      </c>
    </row>
    <row r="92" spans="1:3" x14ac:dyDescent="0.25">
      <c r="A92" s="2" t="s">
        <v>170</v>
      </c>
      <c r="B92" s="7">
        <v>1</v>
      </c>
      <c r="C92" s="86">
        <f>(B92*100)/B98</f>
        <v>2.6315789473684212</v>
      </c>
    </row>
    <row r="93" spans="1:3" x14ac:dyDescent="0.25">
      <c r="A93" s="2" t="s">
        <v>292</v>
      </c>
      <c r="B93" s="7">
        <v>2</v>
      </c>
      <c r="C93" s="86">
        <f>(B93*100)/B98</f>
        <v>5.2631578947368425</v>
      </c>
    </row>
    <row r="94" spans="1:3" x14ac:dyDescent="0.25">
      <c r="A94" s="2" t="s">
        <v>169</v>
      </c>
      <c r="B94" s="7">
        <v>1</v>
      </c>
      <c r="C94" s="86">
        <f>(B94*100)/B98</f>
        <v>2.6315789473684212</v>
      </c>
    </row>
    <row r="95" spans="1:3" x14ac:dyDescent="0.25">
      <c r="A95" s="2" t="s">
        <v>185</v>
      </c>
      <c r="B95" s="7">
        <v>3</v>
      </c>
      <c r="C95" s="86">
        <f>(B95*100)/B98</f>
        <v>7.8947368421052628</v>
      </c>
    </row>
    <row r="96" spans="1:3" x14ac:dyDescent="0.25">
      <c r="A96" s="2" t="s">
        <v>195</v>
      </c>
      <c r="B96" s="7">
        <v>5</v>
      </c>
      <c r="C96" s="86">
        <f>(B96*100)/B98</f>
        <v>13.157894736842104</v>
      </c>
    </row>
    <row r="97" spans="1:3" x14ac:dyDescent="0.25">
      <c r="A97" s="2" t="s">
        <v>129</v>
      </c>
      <c r="B97" s="7">
        <v>26</v>
      </c>
      <c r="C97" s="86">
        <f>(B97*100)/B98</f>
        <v>68.421052631578945</v>
      </c>
    </row>
    <row r="98" spans="1:3" x14ac:dyDescent="0.25">
      <c r="A98" s="56" t="s">
        <v>253</v>
      </c>
      <c r="B98" s="56">
        <f>SUM(B92:B97)</f>
        <v>38</v>
      </c>
      <c r="C98" s="87">
        <f>(B98*100)/B98</f>
        <v>100</v>
      </c>
    </row>
    <row r="100" spans="1:3" x14ac:dyDescent="0.25">
      <c r="A100" s="51" t="s">
        <v>25</v>
      </c>
      <c r="B100" s="51" t="s">
        <v>280</v>
      </c>
      <c r="C100" s="51" t="s">
        <v>295</v>
      </c>
    </row>
    <row r="101" spans="1:3" x14ac:dyDescent="0.25">
      <c r="A101" s="2" t="s">
        <v>185</v>
      </c>
      <c r="B101" s="7">
        <v>1</v>
      </c>
      <c r="C101" s="81">
        <f>(B101*100)/B103</f>
        <v>2.7777777777777777</v>
      </c>
    </row>
    <row r="102" spans="1:3" x14ac:dyDescent="0.25">
      <c r="A102" s="2" t="s">
        <v>130</v>
      </c>
      <c r="B102" s="7">
        <v>35</v>
      </c>
      <c r="C102" s="81">
        <f>(B102*100)/B103</f>
        <v>97.222222222222229</v>
      </c>
    </row>
    <row r="103" spans="1:3" x14ac:dyDescent="0.25">
      <c r="A103" s="56" t="s">
        <v>253</v>
      </c>
      <c r="B103" s="56">
        <f>SUM(B101:B102)</f>
        <v>36</v>
      </c>
      <c r="C103" s="81">
        <f>(B103*100)/B103</f>
        <v>100</v>
      </c>
    </row>
    <row r="105" spans="1:3" ht="45" x14ac:dyDescent="0.25">
      <c r="A105" s="51" t="s">
        <v>27</v>
      </c>
      <c r="B105" s="51" t="s">
        <v>280</v>
      </c>
      <c r="C105" s="51" t="s">
        <v>295</v>
      </c>
    </row>
    <row r="106" spans="1:3" ht="30" x14ac:dyDescent="0.25">
      <c r="A106" s="62" t="s">
        <v>293</v>
      </c>
      <c r="B106" s="7">
        <v>27</v>
      </c>
      <c r="C106" s="69">
        <f>(B106*100)/B109</f>
        <v>75</v>
      </c>
    </row>
    <row r="107" spans="1:3" x14ac:dyDescent="0.25">
      <c r="A107" s="2" t="s">
        <v>294</v>
      </c>
      <c r="B107" s="7">
        <v>8</v>
      </c>
      <c r="C107" s="69">
        <f>(B107*100)/B109</f>
        <v>22.222222222222221</v>
      </c>
    </row>
    <row r="108" spans="1:3" x14ac:dyDescent="0.25">
      <c r="A108" s="2" t="s">
        <v>185</v>
      </c>
      <c r="B108" s="7">
        <v>1</v>
      </c>
      <c r="C108" s="69">
        <f>(B108*100)/B109</f>
        <v>2.7777777777777777</v>
      </c>
    </row>
    <row r="109" spans="1:3" x14ac:dyDescent="0.25">
      <c r="A109" s="1" t="s">
        <v>296</v>
      </c>
      <c r="B109" s="56">
        <f>SUM(B106:B108)</f>
        <v>36</v>
      </c>
      <c r="C109" s="88">
        <f>(B109*100)/B109</f>
        <v>100</v>
      </c>
    </row>
    <row r="111" spans="1:3" ht="30" x14ac:dyDescent="0.25">
      <c r="A111" s="51" t="s">
        <v>317</v>
      </c>
      <c r="B111" s="51" t="s">
        <v>280</v>
      </c>
      <c r="C111" s="51" t="s">
        <v>295</v>
      </c>
    </row>
    <row r="112" spans="1:3" x14ac:dyDescent="0.25">
      <c r="A112" s="2" t="s">
        <v>318</v>
      </c>
      <c r="B112" s="7">
        <v>20</v>
      </c>
      <c r="C112" s="90">
        <f>(B112*100)/B115</f>
        <v>55.555555555555557</v>
      </c>
    </row>
    <row r="113" spans="1:3" x14ac:dyDescent="0.25">
      <c r="A113" s="2" t="s">
        <v>145</v>
      </c>
      <c r="B113" s="7">
        <v>15</v>
      </c>
      <c r="C113" s="90">
        <f>(B113*100)/B115</f>
        <v>41.666666666666664</v>
      </c>
    </row>
    <row r="114" spans="1:3" x14ac:dyDescent="0.25">
      <c r="A114" s="2" t="s">
        <v>319</v>
      </c>
      <c r="B114" s="7">
        <v>1</v>
      </c>
      <c r="C114" s="90">
        <f>(B114*100)/B115</f>
        <v>2.7777777777777777</v>
      </c>
    </row>
    <row r="115" spans="1:3" x14ac:dyDescent="0.25">
      <c r="A115" s="2" t="s">
        <v>320</v>
      </c>
      <c r="B115" s="56">
        <f>SUM(B112:B114)</f>
        <v>36</v>
      </c>
      <c r="C115" s="91">
        <f>(B115*100)/B115</f>
        <v>100</v>
      </c>
    </row>
    <row r="118" spans="1:3" x14ac:dyDescent="0.25">
      <c r="A118" s="51" t="s">
        <v>10</v>
      </c>
      <c r="B118" s="51" t="s">
        <v>280</v>
      </c>
      <c r="C118" s="51" t="s">
        <v>295</v>
      </c>
    </row>
    <row r="119" spans="1:3" x14ac:dyDescent="0.25">
      <c r="A119" s="7">
        <v>1</v>
      </c>
      <c r="B119" s="7">
        <v>22</v>
      </c>
      <c r="C119" s="81">
        <f>(B119*100)/B123</f>
        <v>62.857142857142854</v>
      </c>
    </row>
    <row r="120" spans="1:3" x14ac:dyDescent="0.25">
      <c r="A120" s="7">
        <v>2</v>
      </c>
      <c r="B120" s="7">
        <v>10</v>
      </c>
      <c r="C120" s="81">
        <f>(B120*100)/B123</f>
        <v>28.571428571428573</v>
      </c>
    </row>
    <row r="121" spans="1:3" x14ac:dyDescent="0.25">
      <c r="A121" s="7">
        <v>3</v>
      </c>
      <c r="B121" s="7">
        <v>2</v>
      </c>
      <c r="C121" s="81">
        <f>(B121*100)/B123</f>
        <v>5.7142857142857144</v>
      </c>
    </row>
    <row r="122" spans="1:3" x14ac:dyDescent="0.25">
      <c r="A122" s="7">
        <v>4</v>
      </c>
      <c r="B122" s="7">
        <v>1</v>
      </c>
      <c r="C122" s="81">
        <f>(B122*100)/B123</f>
        <v>2.8571428571428572</v>
      </c>
    </row>
    <row r="123" spans="1:3" x14ac:dyDescent="0.25">
      <c r="A123" s="1" t="s">
        <v>253</v>
      </c>
      <c r="B123" s="56">
        <f>SUM(B119:B122)</f>
        <v>35</v>
      </c>
      <c r="C123" s="92">
        <f>(B123*100)/B123</f>
        <v>100</v>
      </c>
    </row>
  </sheetData>
  <mergeCells count="2">
    <mergeCell ref="R1:R2"/>
    <mergeCell ref="S1:S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7014-2932-458E-BF41-AD20A4A493EA}">
  <dimension ref="A1:Q39"/>
  <sheetViews>
    <sheetView zoomScale="90" zoomScaleNormal="90" workbookViewId="0">
      <selection activeCell="L1" sqref="L1"/>
    </sheetView>
  </sheetViews>
  <sheetFormatPr baseColWidth="10" defaultRowHeight="15" x14ac:dyDescent="0.25"/>
  <sheetData>
    <row r="1" spans="1:17" ht="45" x14ac:dyDescent="0.25">
      <c r="A1" s="162" t="s">
        <v>311</v>
      </c>
      <c r="B1" s="157"/>
      <c r="C1" s="157"/>
      <c r="D1" s="157"/>
      <c r="E1" s="157"/>
      <c r="F1" s="157"/>
      <c r="G1" s="157"/>
      <c r="H1" s="108" t="s">
        <v>312</v>
      </c>
      <c r="J1" s="14" t="s">
        <v>315</v>
      </c>
      <c r="K1" s="14" t="s">
        <v>302</v>
      </c>
      <c r="L1" s="14" t="s">
        <v>313</v>
      </c>
      <c r="P1" s="14" t="s">
        <v>314</v>
      </c>
      <c r="Q1" s="14" t="s">
        <v>316</v>
      </c>
    </row>
    <row r="2" spans="1:17" x14ac:dyDescent="0.25">
      <c r="A2" s="156" t="s">
        <v>298</v>
      </c>
      <c r="B2" s="134" t="s">
        <v>299</v>
      </c>
      <c r="C2" s="134" t="s">
        <v>300</v>
      </c>
      <c r="D2" s="134" t="s">
        <v>301</v>
      </c>
      <c r="E2" s="134" t="s">
        <v>302</v>
      </c>
      <c r="F2" s="134" t="s">
        <v>303</v>
      </c>
      <c r="G2" s="155" t="s">
        <v>304</v>
      </c>
      <c r="H2" s="152" t="s">
        <v>313</v>
      </c>
      <c r="J2" s="7">
        <v>1</v>
      </c>
      <c r="K2" s="79">
        <v>0.89312499999999995</v>
      </c>
      <c r="L2" s="80">
        <v>0.69649689975213103</v>
      </c>
      <c r="P2" s="81">
        <v>0</v>
      </c>
      <c r="Q2" s="81">
        <f>(P2)^3.2</f>
        <v>0</v>
      </c>
    </row>
    <row r="3" spans="1:17" x14ac:dyDescent="0.25">
      <c r="A3" s="156"/>
      <c r="B3" s="134"/>
      <c r="C3" s="134"/>
      <c r="D3" s="134"/>
      <c r="E3" s="134"/>
      <c r="F3" s="134"/>
      <c r="G3" s="155"/>
      <c r="H3" s="152"/>
      <c r="J3" s="7">
        <v>2</v>
      </c>
      <c r="K3" s="79">
        <v>0.85749999999999993</v>
      </c>
      <c r="L3" s="80">
        <v>0.61143347488958655</v>
      </c>
      <c r="P3" s="81">
        <f>P2+(1/35)</f>
        <v>2.8571428571428571E-2</v>
      </c>
      <c r="Q3" s="81">
        <f t="shared" ref="Q3:Q37" si="0">(P3)^3.2</f>
        <v>1.1454661455830583E-5</v>
      </c>
    </row>
    <row r="4" spans="1:17" x14ac:dyDescent="0.25">
      <c r="A4" s="25">
        <v>0.7</v>
      </c>
      <c r="B4" s="6">
        <v>0.05</v>
      </c>
      <c r="C4" s="6">
        <v>0.25</v>
      </c>
      <c r="D4" s="6">
        <v>0.5</v>
      </c>
      <c r="E4" s="68">
        <f>1-(1-A4)*(1-B4)*(1-C4)*(1-D4)</f>
        <v>0.89312499999999995</v>
      </c>
      <c r="F4" s="69">
        <f>E4*100</f>
        <v>89.3125</v>
      </c>
      <c r="G4" s="75" t="s">
        <v>143</v>
      </c>
      <c r="H4" s="125">
        <f>(E4)^3.2</f>
        <v>0.69649689975213147</v>
      </c>
      <c r="J4" s="7">
        <v>3</v>
      </c>
      <c r="K4" s="79">
        <v>0.89312499999999995</v>
      </c>
      <c r="L4" s="80">
        <v>0.69649689975213147</v>
      </c>
      <c r="P4" s="81">
        <f>P3+(1/35)</f>
        <v>5.7142857142857141E-2</v>
      </c>
      <c r="Q4" s="81">
        <f t="shared" si="0"/>
        <v>1.0526360617088429E-4</v>
      </c>
    </row>
    <row r="5" spans="1:17" x14ac:dyDescent="0.25">
      <c r="A5" s="25">
        <v>0.7</v>
      </c>
      <c r="B5" s="6">
        <v>0.05</v>
      </c>
      <c r="C5" s="6">
        <v>0</v>
      </c>
      <c r="D5" s="6">
        <v>0.5</v>
      </c>
      <c r="E5" s="68">
        <f t="shared" ref="E5:E39" si="1">1-(1-A5)*(1-B5)*(1-C5)*(1-D5)</f>
        <v>0.85749999999999993</v>
      </c>
      <c r="F5" s="69">
        <f t="shared" ref="F5:F39" si="2">E5*100</f>
        <v>85.75</v>
      </c>
      <c r="G5" s="75" t="s">
        <v>143</v>
      </c>
      <c r="H5" s="125">
        <f>(E5)^3.2</f>
        <v>0.61143347488958655</v>
      </c>
      <c r="J5" s="7">
        <v>4</v>
      </c>
      <c r="K5" s="79">
        <v>0.89312499999999995</v>
      </c>
      <c r="L5" s="80">
        <v>0.69649689975213147</v>
      </c>
      <c r="P5" s="81">
        <f t="shared" ref="P5:P37" si="3">P4+(1/35)</f>
        <v>8.5714285714285715E-2</v>
      </c>
      <c r="Q5" s="81">
        <f t="shared" si="0"/>
        <v>3.8527450681543626E-4</v>
      </c>
    </row>
    <row r="6" spans="1:17" x14ac:dyDescent="0.25">
      <c r="A6" s="25">
        <v>0.7</v>
      </c>
      <c r="B6" s="6">
        <v>0.05</v>
      </c>
      <c r="C6" s="6">
        <v>0.25</v>
      </c>
      <c r="D6" s="6">
        <v>0.5</v>
      </c>
      <c r="E6" s="68">
        <f t="shared" si="1"/>
        <v>0.89312499999999995</v>
      </c>
      <c r="F6" s="69">
        <f t="shared" si="2"/>
        <v>89.3125</v>
      </c>
      <c r="G6" s="75" t="s">
        <v>143</v>
      </c>
      <c r="H6" s="125">
        <f t="shared" ref="H6:H39" si="4">(E6)^3.2</f>
        <v>0.69649689975213147</v>
      </c>
      <c r="J6" s="7">
        <v>5</v>
      </c>
      <c r="K6" s="79">
        <v>0.89312499999999995</v>
      </c>
      <c r="L6" s="80">
        <v>0.69649689975213147</v>
      </c>
      <c r="P6" s="81">
        <f t="shared" si="3"/>
        <v>0.11428571428571428</v>
      </c>
      <c r="Q6" s="81">
        <f t="shared" si="0"/>
        <v>9.6732904999640443E-4</v>
      </c>
    </row>
    <row r="7" spans="1:17" x14ac:dyDescent="0.25">
      <c r="A7" s="25">
        <v>0.7</v>
      </c>
      <c r="B7" s="6">
        <v>0.05</v>
      </c>
      <c r="C7" s="6">
        <v>0.25</v>
      </c>
      <c r="D7" s="6">
        <v>0.5</v>
      </c>
      <c r="E7" s="68">
        <f t="shared" si="1"/>
        <v>0.89312499999999995</v>
      </c>
      <c r="F7" s="69">
        <f t="shared" si="2"/>
        <v>89.3125</v>
      </c>
      <c r="G7" s="75" t="s">
        <v>143</v>
      </c>
      <c r="H7" s="125">
        <f>(E7)^3.2</f>
        <v>0.69649689975213147</v>
      </c>
      <c r="J7" s="7">
        <v>6</v>
      </c>
      <c r="K7" s="79">
        <v>0.92874999999999996</v>
      </c>
      <c r="L7" s="80">
        <v>0.7893620547009822</v>
      </c>
      <c r="P7" s="81">
        <f t="shared" si="3"/>
        <v>0.14285714285714285</v>
      </c>
      <c r="Q7" s="81">
        <f t="shared" si="0"/>
        <v>1.9755420215757449E-3</v>
      </c>
    </row>
    <row r="8" spans="1:17" x14ac:dyDescent="0.25">
      <c r="A8" s="25">
        <v>0.7</v>
      </c>
      <c r="B8" s="6">
        <v>0.05</v>
      </c>
      <c r="C8" s="6">
        <v>0.25</v>
      </c>
      <c r="D8" s="6">
        <v>0.5</v>
      </c>
      <c r="E8" s="68">
        <f t="shared" si="1"/>
        <v>0.89312499999999995</v>
      </c>
      <c r="F8" s="69">
        <f t="shared" si="2"/>
        <v>89.3125</v>
      </c>
      <c r="G8" s="75" t="s">
        <v>143</v>
      </c>
      <c r="H8" s="125">
        <f t="shared" si="4"/>
        <v>0.69649689975213147</v>
      </c>
      <c r="J8" s="7">
        <v>7</v>
      </c>
      <c r="K8" s="79">
        <v>0.97</v>
      </c>
      <c r="L8" s="80">
        <v>0.90713004130020858</v>
      </c>
      <c r="P8" s="81">
        <f t="shared" si="3"/>
        <v>0.17142857142857143</v>
      </c>
      <c r="Q8" s="81">
        <f t="shared" si="0"/>
        <v>3.5405135376094824E-3</v>
      </c>
    </row>
    <row r="9" spans="1:17" x14ac:dyDescent="0.25">
      <c r="A9" s="25">
        <v>0.7</v>
      </c>
      <c r="B9" s="6">
        <v>0.05</v>
      </c>
      <c r="C9" s="6">
        <v>0.5</v>
      </c>
      <c r="D9" s="6">
        <v>0.5</v>
      </c>
      <c r="E9" s="68">
        <f t="shared" si="1"/>
        <v>0.92874999999999996</v>
      </c>
      <c r="F9" s="69">
        <f t="shared" si="2"/>
        <v>92.875</v>
      </c>
      <c r="G9" s="76" t="s">
        <v>305</v>
      </c>
      <c r="H9" s="125">
        <f t="shared" si="4"/>
        <v>0.7893620547009822</v>
      </c>
      <c r="J9" s="7">
        <v>8</v>
      </c>
      <c r="K9" s="79">
        <v>0.89312499999999995</v>
      </c>
      <c r="L9" s="80">
        <v>0.69649689975213147</v>
      </c>
      <c r="P9" s="81">
        <f t="shared" si="3"/>
        <v>0.2</v>
      </c>
      <c r="Q9" s="81">
        <f t="shared" si="0"/>
        <v>5.7982373094215625E-3</v>
      </c>
    </row>
    <row r="10" spans="1:17" x14ac:dyDescent="0.25">
      <c r="A10" s="25">
        <v>0.7</v>
      </c>
      <c r="B10" s="6">
        <v>0.6</v>
      </c>
      <c r="C10" s="6">
        <v>0.5</v>
      </c>
      <c r="D10" s="6">
        <v>0.5</v>
      </c>
      <c r="E10" s="68">
        <f t="shared" si="1"/>
        <v>0.97</v>
      </c>
      <c r="F10" s="69">
        <f t="shared" si="2"/>
        <v>97</v>
      </c>
      <c r="G10" s="76" t="s">
        <v>305</v>
      </c>
      <c r="H10" s="125">
        <f t="shared" si="4"/>
        <v>0.90713004130020858</v>
      </c>
      <c r="J10" s="7">
        <v>9</v>
      </c>
      <c r="K10" s="79">
        <v>0.80400000000000005</v>
      </c>
      <c r="L10" s="80">
        <v>0.49753009518937347</v>
      </c>
      <c r="P10" s="81">
        <f t="shared" si="3"/>
        <v>0.22857142857142859</v>
      </c>
      <c r="Q10" s="81">
        <f t="shared" si="0"/>
        <v>8.8893543077737183E-3</v>
      </c>
    </row>
    <row r="11" spans="1:17" x14ac:dyDescent="0.25">
      <c r="A11" s="25">
        <v>0.7</v>
      </c>
      <c r="B11" s="6">
        <v>0.05</v>
      </c>
      <c r="C11" s="6">
        <v>0.25</v>
      </c>
      <c r="D11" s="6">
        <v>0.5</v>
      </c>
      <c r="E11" s="68">
        <f>1-(1-A11)*(1-B11)*(1-C11)*(1-D11)</f>
        <v>0.89312499999999995</v>
      </c>
      <c r="F11" s="69">
        <f t="shared" si="2"/>
        <v>89.3125</v>
      </c>
      <c r="G11" s="75" t="s">
        <v>143</v>
      </c>
      <c r="H11" s="125">
        <f t="shared" si="4"/>
        <v>0.69649689975213147</v>
      </c>
      <c r="J11" s="7">
        <v>10</v>
      </c>
      <c r="K11" s="79">
        <v>0.92874999999999996</v>
      </c>
      <c r="L11" s="80">
        <v>0.7893620547009822</v>
      </c>
      <c r="P11" s="81">
        <f t="shared" si="3"/>
        <v>0.25714285714285717</v>
      </c>
      <c r="Q11" s="81">
        <f t="shared" si="0"/>
        <v>1.2958606081397666E-2</v>
      </c>
    </row>
    <row r="12" spans="1:17" x14ac:dyDescent="0.25">
      <c r="A12" s="25">
        <v>0.3</v>
      </c>
      <c r="B12" s="6">
        <v>0.6</v>
      </c>
      <c r="C12" s="6">
        <v>0</v>
      </c>
      <c r="D12" s="6">
        <v>0.3</v>
      </c>
      <c r="E12" s="68">
        <f t="shared" si="1"/>
        <v>0.80400000000000005</v>
      </c>
      <c r="F12" s="69">
        <f t="shared" si="2"/>
        <v>80.400000000000006</v>
      </c>
      <c r="G12" s="75" t="s">
        <v>143</v>
      </c>
      <c r="H12" s="125">
        <f t="shared" si="4"/>
        <v>0.49753009518937347</v>
      </c>
      <c r="J12" s="7">
        <v>11</v>
      </c>
      <c r="K12" s="79">
        <v>0.85037499999999999</v>
      </c>
      <c r="L12" s="80">
        <v>0.59532421599202678</v>
      </c>
      <c r="P12" s="81">
        <f t="shared" si="3"/>
        <v>0.28571428571428575</v>
      </c>
      <c r="Q12" s="81">
        <f t="shared" si="0"/>
        <v>1.8154414963292623E-2</v>
      </c>
    </row>
    <row r="13" spans="1:17" x14ac:dyDescent="0.25">
      <c r="A13" s="25">
        <v>0.7</v>
      </c>
      <c r="B13" s="6">
        <v>0.05</v>
      </c>
      <c r="C13" s="6">
        <v>0.5</v>
      </c>
      <c r="D13" s="6">
        <v>0.5</v>
      </c>
      <c r="E13" s="68">
        <f t="shared" si="1"/>
        <v>0.92874999999999996</v>
      </c>
      <c r="F13" s="69">
        <f t="shared" si="2"/>
        <v>92.875</v>
      </c>
      <c r="G13" s="76" t="s">
        <v>305</v>
      </c>
      <c r="H13" s="125">
        <f t="shared" si="4"/>
        <v>0.7893620547009822</v>
      </c>
      <c r="J13" s="7">
        <v>12</v>
      </c>
      <c r="K13" s="79">
        <v>0.85037499999999999</v>
      </c>
      <c r="L13" s="80">
        <v>0.59532421599202678</v>
      </c>
      <c r="P13" s="81">
        <f t="shared" si="3"/>
        <v>0.31428571428571433</v>
      </c>
      <c r="Q13" s="81">
        <f t="shared" si="0"/>
        <v>2.4628550395694695E-2</v>
      </c>
    </row>
    <row r="14" spans="1:17" x14ac:dyDescent="0.25">
      <c r="A14" s="25">
        <v>0.7</v>
      </c>
      <c r="B14" s="6">
        <v>0.05</v>
      </c>
      <c r="C14" s="6">
        <v>0.25</v>
      </c>
      <c r="D14" s="6">
        <v>0.3</v>
      </c>
      <c r="E14" s="68">
        <f t="shared" si="1"/>
        <v>0.85037499999999999</v>
      </c>
      <c r="F14" s="69">
        <f t="shared" si="2"/>
        <v>85.037499999999994</v>
      </c>
      <c r="G14" s="75" t="s">
        <v>143</v>
      </c>
      <c r="H14" s="125">
        <f t="shared" si="4"/>
        <v>0.59532421599202678</v>
      </c>
      <c r="J14" s="7">
        <v>13</v>
      </c>
      <c r="K14" s="79">
        <v>0.66749999999999998</v>
      </c>
      <c r="L14" s="80">
        <v>0.27431153103914752</v>
      </c>
      <c r="P14" s="81">
        <f t="shared" si="3"/>
        <v>0.34285714285714292</v>
      </c>
      <c r="Q14" s="81">
        <f t="shared" si="0"/>
        <v>3.2535856611974001E-2</v>
      </c>
    </row>
    <row r="15" spans="1:17" x14ac:dyDescent="0.25">
      <c r="A15" s="25">
        <v>0.7</v>
      </c>
      <c r="B15" s="6">
        <v>0.05</v>
      </c>
      <c r="C15" s="6">
        <v>0.25</v>
      </c>
      <c r="D15" s="6">
        <v>0.3</v>
      </c>
      <c r="E15" s="68">
        <f t="shared" si="1"/>
        <v>0.85037499999999999</v>
      </c>
      <c r="F15" s="69">
        <f t="shared" si="2"/>
        <v>85.037499999999994</v>
      </c>
      <c r="G15" s="75" t="s">
        <v>143</v>
      </c>
      <c r="H15" s="125">
        <f t="shared" si="4"/>
        <v>0.59532421599202678</v>
      </c>
      <c r="J15" s="7">
        <v>14</v>
      </c>
      <c r="K15" s="79">
        <v>0.66749999999999998</v>
      </c>
      <c r="L15" s="80">
        <v>0.27431153103914752</v>
      </c>
      <c r="P15" s="81">
        <f t="shared" si="3"/>
        <v>0.3714285714285715</v>
      </c>
      <c r="Q15" s="81">
        <f t="shared" si="0"/>
        <v>4.2034025703282296E-2</v>
      </c>
    </row>
    <row r="16" spans="1:17" x14ac:dyDescent="0.25">
      <c r="A16" s="25">
        <v>0.5</v>
      </c>
      <c r="B16" s="6">
        <v>0.05</v>
      </c>
      <c r="C16" s="6">
        <v>0</v>
      </c>
      <c r="D16" s="6">
        <v>0.3</v>
      </c>
      <c r="E16" s="68">
        <f t="shared" si="1"/>
        <v>0.66749999999999998</v>
      </c>
      <c r="F16" s="69">
        <f t="shared" si="2"/>
        <v>66.75</v>
      </c>
      <c r="G16" s="77" t="s">
        <v>154</v>
      </c>
      <c r="H16" s="125">
        <f t="shared" si="4"/>
        <v>0.27431153103914752</v>
      </c>
      <c r="J16" s="7">
        <v>15</v>
      </c>
      <c r="K16" s="79">
        <v>0.66749999999999998</v>
      </c>
      <c r="L16" s="80">
        <v>0.27431153103914752</v>
      </c>
      <c r="P16" s="81">
        <f t="shared" si="3"/>
        <v>0.40000000000000008</v>
      </c>
      <c r="Q16" s="81">
        <f t="shared" si="0"/>
        <v>5.3283405273719907E-2</v>
      </c>
    </row>
    <row r="17" spans="1:17" x14ac:dyDescent="0.25">
      <c r="A17" s="25">
        <v>0.5</v>
      </c>
      <c r="B17" s="6">
        <v>0.05</v>
      </c>
      <c r="C17" s="6">
        <v>0</v>
      </c>
      <c r="D17" s="6">
        <v>0.3</v>
      </c>
      <c r="E17" s="68">
        <f t="shared" si="1"/>
        <v>0.66749999999999998</v>
      </c>
      <c r="F17" s="69">
        <f t="shared" si="2"/>
        <v>66.75</v>
      </c>
      <c r="G17" s="77" t="s">
        <v>154</v>
      </c>
      <c r="H17" s="125">
        <f t="shared" si="4"/>
        <v>0.27431153103914752</v>
      </c>
      <c r="J17" s="7">
        <v>16</v>
      </c>
      <c r="K17" s="79">
        <v>0.9</v>
      </c>
      <c r="L17" s="80">
        <v>0.71379915616115208</v>
      </c>
      <c r="P17" s="81">
        <f t="shared" si="3"/>
        <v>0.42857142857142866</v>
      </c>
      <c r="Q17" s="81">
        <f t="shared" si="0"/>
        <v>6.6446833107262335E-2</v>
      </c>
    </row>
    <row r="18" spans="1:17" x14ac:dyDescent="0.25">
      <c r="A18" s="25">
        <v>0.5</v>
      </c>
      <c r="B18" s="6">
        <v>0.05</v>
      </c>
      <c r="C18" s="6">
        <v>0</v>
      </c>
      <c r="D18" s="6">
        <v>0.3</v>
      </c>
      <c r="E18" s="68">
        <f t="shared" si="1"/>
        <v>0.66749999999999998</v>
      </c>
      <c r="F18" s="69">
        <f t="shared" si="2"/>
        <v>66.75</v>
      </c>
      <c r="G18" s="77" t="s">
        <v>154</v>
      </c>
      <c r="H18" s="125">
        <f t="shared" si="4"/>
        <v>0.27431153103914752</v>
      </c>
      <c r="J18" s="7">
        <v>17</v>
      </c>
      <c r="K18" s="79">
        <v>0.76249999999999996</v>
      </c>
      <c r="L18" s="80">
        <v>0.41992092232853029</v>
      </c>
      <c r="P18" s="81">
        <f t="shared" si="3"/>
        <v>0.45714285714285724</v>
      </c>
      <c r="Q18" s="81">
        <f t="shared" si="0"/>
        <v>8.1689493362603838E-2</v>
      </c>
    </row>
    <row r="19" spans="1:17" x14ac:dyDescent="0.25">
      <c r="A19" s="25">
        <v>0.5</v>
      </c>
      <c r="B19" s="6">
        <v>0.6</v>
      </c>
      <c r="C19" s="6">
        <v>0</v>
      </c>
      <c r="D19" s="6">
        <v>0.5</v>
      </c>
      <c r="E19" s="68">
        <f t="shared" si="1"/>
        <v>0.9</v>
      </c>
      <c r="F19" s="69">
        <f t="shared" si="2"/>
        <v>90</v>
      </c>
      <c r="G19" s="76" t="s">
        <v>307</v>
      </c>
      <c r="H19" s="125">
        <f t="shared" si="4"/>
        <v>0.71379915616115208</v>
      </c>
      <c r="J19" s="7">
        <v>18</v>
      </c>
      <c r="K19" s="79">
        <v>0.76249999999999996</v>
      </c>
      <c r="L19" s="80">
        <v>0.41992092232853029</v>
      </c>
      <c r="P19" s="81">
        <f t="shared" si="3"/>
        <v>0.48571428571428582</v>
      </c>
      <c r="Q19" s="81">
        <f t="shared" si="0"/>
        <v>9.9178790223119484E-2</v>
      </c>
    </row>
    <row r="20" spans="1:17" x14ac:dyDescent="0.25">
      <c r="A20" s="25">
        <v>0.5</v>
      </c>
      <c r="B20" s="6">
        <v>0.05</v>
      </c>
      <c r="C20" s="6">
        <v>0</v>
      </c>
      <c r="D20" s="6">
        <v>0.5</v>
      </c>
      <c r="E20" s="68">
        <f t="shared" si="1"/>
        <v>0.76249999999999996</v>
      </c>
      <c r="F20" s="69">
        <f t="shared" si="2"/>
        <v>76.25</v>
      </c>
      <c r="G20" s="78" t="s">
        <v>306</v>
      </c>
      <c r="H20" s="125">
        <f t="shared" si="4"/>
        <v>0.41992092232853029</v>
      </c>
      <c r="J20" s="7">
        <v>19</v>
      </c>
      <c r="K20" s="79">
        <v>0.76249999999999996</v>
      </c>
      <c r="L20" s="80">
        <v>0.41992092232853029</v>
      </c>
      <c r="P20" s="81">
        <f t="shared" si="3"/>
        <v>0.51428571428571435</v>
      </c>
      <c r="Q20" s="81">
        <f t="shared" si="0"/>
        <v>0.11908423591004856</v>
      </c>
    </row>
    <row r="21" spans="1:17" x14ac:dyDescent="0.25">
      <c r="A21" s="25">
        <v>0.5</v>
      </c>
      <c r="B21" s="6">
        <v>0.05</v>
      </c>
      <c r="C21" s="6">
        <v>0</v>
      </c>
      <c r="D21" s="6">
        <v>0.5</v>
      </c>
      <c r="E21" s="68">
        <f t="shared" si="1"/>
        <v>0.76249999999999996</v>
      </c>
      <c r="F21" s="69">
        <f t="shared" si="2"/>
        <v>76.25</v>
      </c>
      <c r="G21" s="78" t="s">
        <v>306</v>
      </c>
      <c r="H21" s="125">
        <f t="shared" si="4"/>
        <v>0.41992092232853029</v>
      </c>
      <c r="J21" s="7">
        <v>20</v>
      </c>
      <c r="K21" s="79">
        <v>0.94</v>
      </c>
      <c r="L21" s="80">
        <v>0.82036879330444146</v>
      </c>
      <c r="P21" s="81">
        <f t="shared" si="3"/>
        <v>0.54285714285714293</v>
      </c>
      <c r="Q21" s="81">
        <f t="shared" si="0"/>
        <v>0.14157735066692953</v>
      </c>
    </row>
    <row r="22" spans="1:17" x14ac:dyDescent="0.25">
      <c r="A22" s="25">
        <v>0.5</v>
      </c>
      <c r="B22" s="6">
        <v>0.05</v>
      </c>
      <c r="C22" s="6">
        <v>0</v>
      </c>
      <c r="D22" s="6">
        <v>0.5</v>
      </c>
      <c r="E22" s="68">
        <f t="shared" si="1"/>
        <v>0.76249999999999996</v>
      </c>
      <c r="F22" s="69">
        <f t="shared" si="2"/>
        <v>76.25</v>
      </c>
      <c r="G22" s="78" t="s">
        <v>306</v>
      </c>
      <c r="H22" s="125">
        <f t="shared" si="4"/>
        <v>0.41992092232853029</v>
      </c>
      <c r="J22" s="7">
        <v>21</v>
      </c>
      <c r="K22" s="79">
        <v>0.92500000000000004</v>
      </c>
      <c r="L22" s="80">
        <v>0.77920825485013756</v>
      </c>
      <c r="P22" s="81">
        <f t="shared" si="3"/>
        <v>0.57142857142857151</v>
      </c>
      <c r="Q22" s="81">
        <f t="shared" si="0"/>
        <v>0.16683157283414232</v>
      </c>
    </row>
    <row r="23" spans="1:17" x14ac:dyDescent="0.25">
      <c r="A23" s="25">
        <v>0.7</v>
      </c>
      <c r="B23" s="6">
        <v>0.6</v>
      </c>
      <c r="C23" s="6">
        <v>0</v>
      </c>
      <c r="D23" s="6">
        <v>0.5</v>
      </c>
      <c r="E23" s="68">
        <f t="shared" si="1"/>
        <v>0.94</v>
      </c>
      <c r="F23" s="69">
        <f t="shared" si="2"/>
        <v>94</v>
      </c>
      <c r="G23" s="76" t="s">
        <v>307</v>
      </c>
      <c r="H23" s="125">
        <f t="shared" si="4"/>
        <v>0.82036879330444146</v>
      </c>
      <c r="J23" s="7">
        <v>22</v>
      </c>
      <c r="K23" s="79">
        <v>0.89500000000000002</v>
      </c>
      <c r="L23" s="80">
        <v>0.70118676965305315</v>
      </c>
      <c r="P23" s="81">
        <f t="shared" si="3"/>
        <v>0.60000000000000009</v>
      </c>
      <c r="Q23" s="81">
        <f t="shared" si="0"/>
        <v>0.19502217751264589</v>
      </c>
    </row>
    <row r="24" spans="1:17" x14ac:dyDescent="0.25">
      <c r="A24" s="25">
        <v>0.5</v>
      </c>
      <c r="B24" s="6">
        <v>0.6</v>
      </c>
      <c r="C24" s="6">
        <v>0.25</v>
      </c>
      <c r="D24" s="6">
        <v>0.5</v>
      </c>
      <c r="E24" s="68">
        <f t="shared" si="1"/>
        <v>0.92500000000000004</v>
      </c>
      <c r="F24" s="69">
        <f t="shared" si="2"/>
        <v>92.5</v>
      </c>
      <c r="G24" s="76" t="s">
        <v>307</v>
      </c>
      <c r="H24" s="125">
        <f t="shared" si="4"/>
        <v>0.77920825485013756</v>
      </c>
      <c r="J24" s="7">
        <v>23</v>
      </c>
      <c r="K24" s="79">
        <v>0.95499999999999996</v>
      </c>
      <c r="L24" s="80">
        <v>0.8629999867911009</v>
      </c>
      <c r="P24" s="81">
        <f t="shared" si="3"/>
        <v>0.62857142857142867</v>
      </c>
      <c r="Q24" s="81">
        <f t="shared" si="0"/>
        <v>0.22632620260396866</v>
      </c>
    </row>
    <row r="25" spans="1:17" x14ac:dyDescent="0.25">
      <c r="A25" s="25">
        <v>0.5</v>
      </c>
      <c r="B25" s="6">
        <v>0.6</v>
      </c>
      <c r="C25" s="6">
        <v>0.25</v>
      </c>
      <c r="D25" s="6">
        <v>0.3</v>
      </c>
      <c r="E25" s="68">
        <f t="shared" si="1"/>
        <v>0.89500000000000002</v>
      </c>
      <c r="F25" s="69">
        <f t="shared" si="2"/>
        <v>89.5</v>
      </c>
      <c r="G25" s="75" t="s">
        <v>143</v>
      </c>
      <c r="H25" s="125">
        <f t="shared" si="4"/>
        <v>0.70118676965305315</v>
      </c>
      <c r="J25" s="7">
        <v>24</v>
      </c>
      <c r="K25" s="79">
        <v>0.76249999999999996</v>
      </c>
      <c r="L25" s="80">
        <v>0.41992092232853029</v>
      </c>
      <c r="P25" s="81">
        <f t="shared" si="3"/>
        <v>0.65714285714285725</v>
      </c>
      <c r="Q25" s="81">
        <f t="shared" si="0"/>
        <v>0.26092238123498968</v>
      </c>
    </row>
    <row r="26" spans="1:17" x14ac:dyDescent="0.25">
      <c r="A26" s="25">
        <v>0.5</v>
      </c>
      <c r="B26" s="6">
        <v>0.6</v>
      </c>
      <c r="C26" s="6">
        <v>0.25</v>
      </c>
      <c r="D26" s="6">
        <v>0.7</v>
      </c>
      <c r="E26" s="68">
        <f t="shared" si="1"/>
        <v>0.95499999999999996</v>
      </c>
      <c r="F26" s="69">
        <f t="shared" si="2"/>
        <v>95.5</v>
      </c>
      <c r="G26" s="76" t="s">
        <v>307</v>
      </c>
      <c r="H26" s="125">
        <f t="shared" si="4"/>
        <v>0.8629999867911009</v>
      </c>
      <c r="J26" s="7">
        <v>25</v>
      </c>
      <c r="K26" s="79">
        <v>0.76249999999999996</v>
      </c>
      <c r="L26" s="80">
        <v>0.41992092232853029</v>
      </c>
      <c r="P26" s="81">
        <f t="shared" si="3"/>
        <v>0.68571428571428583</v>
      </c>
      <c r="Q26" s="81">
        <f t="shared" si="0"/>
        <v>0.29899107974875161</v>
      </c>
    </row>
    <row r="27" spans="1:17" x14ac:dyDescent="0.25">
      <c r="A27" s="25">
        <v>0.5</v>
      </c>
      <c r="B27" s="6">
        <v>0.05</v>
      </c>
      <c r="C27" s="6">
        <v>0</v>
      </c>
      <c r="D27" s="6">
        <v>0.5</v>
      </c>
      <c r="E27" s="68">
        <f t="shared" si="1"/>
        <v>0.76249999999999996</v>
      </c>
      <c r="F27" s="69">
        <f t="shared" si="2"/>
        <v>76.25</v>
      </c>
      <c r="G27" s="78" t="s">
        <v>306</v>
      </c>
      <c r="H27" s="125">
        <f t="shared" si="4"/>
        <v>0.41992092232853029</v>
      </c>
      <c r="J27" s="7">
        <v>26</v>
      </c>
      <c r="K27" s="79">
        <v>0.9</v>
      </c>
      <c r="L27" s="80">
        <v>0.71379915616115208</v>
      </c>
      <c r="P27" s="81">
        <f t="shared" si="3"/>
        <v>0.71428571428571441</v>
      </c>
      <c r="Q27" s="81">
        <f t="shared" si="0"/>
        <v>0.34071424057888877</v>
      </c>
    </row>
    <row r="28" spans="1:17" x14ac:dyDescent="0.25">
      <c r="A28" s="25">
        <v>0.5</v>
      </c>
      <c r="B28" s="6">
        <v>0.05</v>
      </c>
      <c r="C28" s="6">
        <v>0</v>
      </c>
      <c r="D28" s="6">
        <v>0.5</v>
      </c>
      <c r="E28" s="68">
        <f t="shared" si="1"/>
        <v>0.76249999999999996</v>
      </c>
      <c r="F28" s="69">
        <f t="shared" si="2"/>
        <v>76.25</v>
      </c>
      <c r="G28" s="78" t="s">
        <v>306</v>
      </c>
      <c r="H28" s="125">
        <f t="shared" si="4"/>
        <v>0.41992092232853029</v>
      </c>
      <c r="J28" s="7">
        <v>27</v>
      </c>
      <c r="K28" s="79">
        <v>0.82187500000000002</v>
      </c>
      <c r="L28" s="80">
        <v>0.53379987105554849</v>
      </c>
      <c r="P28" s="81">
        <f t="shared" si="3"/>
        <v>0.74285714285714299</v>
      </c>
      <c r="Q28" s="81">
        <f t="shared" si="0"/>
        <v>0.38627532943410775</v>
      </c>
    </row>
    <row r="29" spans="1:17" x14ac:dyDescent="0.25">
      <c r="A29" s="25">
        <v>0.5</v>
      </c>
      <c r="B29" s="6">
        <v>0.6</v>
      </c>
      <c r="C29" s="6">
        <v>0</v>
      </c>
      <c r="D29" s="6">
        <v>0.5</v>
      </c>
      <c r="E29" s="68">
        <f t="shared" si="1"/>
        <v>0.9</v>
      </c>
      <c r="F29" s="69">
        <f t="shared" si="2"/>
        <v>90</v>
      </c>
      <c r="G29" s="76" t="s">
        <v>307</v>
      </c>
      <c r="H29" s="125">
        <f t="shared" si="4"/>
        <v>0.71379915616115208</v>
      </c>
      <c r="J29" s="7">
        <v>28</v>
      </c>
      <c r="K29" s="79">
        <v>0.67937500000000006</v>
      </c>
      <c r="L29" s="80">
        <v>0.29023554325797374</v>
      </c>
      <c r="P29" s="81">
        <f t="shared" si="3"/>
        <v>0.77142857142857157</v>
      </c>
      <c r="Q29" s="81">
        <f t="shared" si="0"/>
        <v>0.43585928630694559</v>
      </c>
    </row>
    <row r="30" spans="1:17" x14ac:dyDescent="0.25">
      <c r="A30" s="25">
        <v>0.5</v>
      </c>
      <c r="B30" s="6">
        <v>0.05</v>
      </c>
      <c r="C30" s="6">
        <v>0.25</v>
      </c>
      <c r="D30" s="6">
        <v>0.5</v>
      </c>
      <c r="E30" s="68">
        <f t="shared" si="1"/>
        <v>0.82187500000000002</v>
      </c>
      <c r="F30" s="69">
        <f t="shared" si="2"/>
        <v>82.1875</v>
      </c>
      <c r="G30" s="75" t="s">
        <v>143</v>
      </c>
      <c r="H30" s="125">
        <f t="shared" si="4"/>
        <v>0.53379987105554849</v>
      </c>
      <c r="J30" s="7">
        <v>29</v>
      </c>
      <c r="K30" s="79">
        <v>0.89500000000000002</v>
      </c>
      <c r="L30" s="80">
        <v>0.70118676965305315</v>
      </c>
      <c r="P30" s="81">
        <f t="shared" si="3"/>
        <v>0.80000000000000016</v>
      </c>
      <c r="Q30" s="81">
        <f t="shared" si="0"/>
        <v>0.48965247989249922</v>
      </c>
    </row>
    <row r="31" spans="1:17" x14ac:dyDescent="0.25">
      <c r="A31" s="25">
        <v>0.5</v>
      </c>
      <c r="B31" s="6">
        <v>0.05</v>
      </c>
      <c r="C31" s="6">
        <v>0.25</v>
      </c>
      <c r="D31" s="6">
        <v>0.1</v>
      </c>
      <c r="E31" s="68">
        <f t="shared" si="1"/>
        <v>0.67937500000000006</v>
      </c>
      <c r="F31" s="69">
        <f t="shared" si="2"/>
        <v>67.9375</v>
      </c>
      <c r="G31" s="77" t="s">
        <v>154</v>
      </c>
      <c r="H31" s="125">
        <f>(E31)^3.2</f>
        <v>0.29023554325797374</v>
      </c>
      <c r="J31" s="7">
        <v>30</v>
      </c>
      <c r="K31" s="79">
        <v>0.89500000000000002</v>
      </c>
      <c r="L31" s="80">
        <v>0.70118676965305315</v>
      </c>
      <c r="P31" s="81">
        <f t="shared" si="3"/>
        <v>0.82857142857142874</v>
      </c>
      <c r="Q31" s="81">
        <f t="shared" si="0"/>
        <v>0.54784266506149248</v>
      </c>
    </row>
    <row r="32" spans="1:17" x14ac:dyDescent="0.25">
      <c r="A32" s="25">
        <v>0.5</v>
      </c>
      <c r="B32" s="6">
        <v>0.6</v>
      </c>
      <c r="C32" s="6">
        <v>0.25</v>
      </c>
      <c r="D32" s="6">
        <v>0.3</v>
      </c>
      <c r="E32" s="68">
        <f t="shared" si="1"/>
        <v>0.89500000000000002</v>
      </c>
      <c r="F32" s="69">
        <f t="shared" si="2"/>
        <v>89.5</v>
      </c>
      <c r="G32" s="75" t="s">
        <v>143</v>
      </c>
      <c r="H32" s="125">
        <f t="shared" si="4"/>
        <v>0.70118676965305315</v>
      </c>
      <c r="J32" s="7">
        <v>31</v>
      </c>
      <c r="K32" s="79">
        <v>0.85299999999999998</v>
      </c>
      <c r="L32" s="80">
        <v>0.60122481824896112</v>
      </c>
      <c r="P32" s="81">
        <f t="shared" si="3"/>
        <v>0.85714285714285732</v>
      </c>
      <c r="Q32" s="81">
        <f t="shared" si="0"/>
        <v>0.61061894308059828</v>
      </c>
    </row>
    <row r="33" spans="1:17" x14ac:dyDescent="0.25">
      <c r="A33" s="25">
        <v>0.5</v>
      </c>
      <c r="B33" s="6">
        <v>0.6</v>
      </c>
      <c r="C33" s="6">
        <v>0.25</v>
      </c>
      <c r="D33" s="6">
        <v>0.3</v>
      </c>
      <c r="E33" s="68">
        <f t="shared" si="1"/>
        <v>0.89500000000000002</v>
      </c>
      <c r="F33" s="69">
        <f t="shared" si="2"/>
        <v>89.5</v>
      </c>
      <c r="G33" s="75" t="s">
        <v>143</v>
      </c>
      <c r="H33" s="125">
        <f t="shared" si="4"/>
        <v>0.70118676965305315</v>
      </c>
      <c r="J33" s="7">
        <v>32</v>
      </c>
      <c r="K33" s="79">
        <v>0.89312499999999995</v>
      </c>
      <c r="L33" s="80">
        <v>0.69649689975213147</v>
      </c>
      <c r="P33" s="81">
        <f t="shared" si="3"/>
        <v>0.8857142857142859</v>
      </c>
      <c r="Q33" s="81">
        <f t="shared" si="0"/>
        <v>0.67817172431339812</v>
      </c>
    </row>
    <row r="34" spans="1:17" x14ac:dyDescent="0.25">
      <c r="A34" s="25">
        <v>0.3</v>
      </c>
      <c r="B34" s="6">
        <v>0.6</v>
      </c>
      <c r="C34" s="6">
        <v>0.25</v>
      </c>
      <c r="D34" s="6">
        <v>0.3</v>
      </c>
      <c r="E34" s="68">
        <f t="shared" si="1"/>
        <v>0.85299999999999998</v>
      </c>
      <c r="F34" s="69">
        <f t="shared" si="2"/>
        <v>85.3</v>
      </c>
      <c r="G34" s="75" t="s">
        <v>143</v>
      </c>
      <c r="H34" s="125">
        <f t="shared" si="4"/>
        <v>0.60122481824896112</v>
      </c>
      <c r="J34" s="7">
        <v>33</v>
      </c>
      <c r="K34" s="79">
        <v>0.98124999999999996</v>
      </c>
      <c r="L34" s="80">
        <v>0.94122822747742318</v>
      </c>
      <c r="P34" s="81">
        <f t="shared" si="3"/>
        <v>0.91428571428571448</v>
      </c>
      <c r="Q34" s="81">
        <f t="shared" si="0"/>
        <v>0.7506926931693142</v>
      </c>
    </row>
    <row r="35" spans="1:17" x14ac:dyDescent="0.25">
      <c r="A35" s="25">
        <v>0.7</v>
      </c>
      <c r="B35" s="6">
        <v>0.05</v>
      </c>
      <c r="C35" s="6">
        <v>0.25</v>
      </c>
      <c r="D35" s="6">
        <v>0.5</v>
      </c>
      <c r="E35" s="68">
        <f t="shared" si="1"/>
        <v>0.89312499999999995</v>
      </c>
      <c r="F35" s="69">
        <f t="shared" si="2"/>
        <v>89.3125</v>
      </c>
      <c r="G35" s="75" t="s">
        <v>143</v>
      </c>
      <c r="H35" s="125">
        <f t="shared" si="4"/>
        <v>0.69649689975213147</v>
      </c>
      <c r="J35" s="7">
        <v>34</v>
      </c>
      <c r="K35" s="79">
        <v>0.89312499999999995</v>
      </c>
      <c r="L35" s="80">
        <v>0.69649689975213147</v>
      </c>
      <c r="P35" s="81">
        <f t="shared" si="3"/>
        <v>0.94285714285714306</v>
      </c>
      <c r="Q35" s="81">
        <f t="shared" si="0"/>
        <v>0.82837477509651603</v>
      </c>
    </row>
    <row r="36" spans="1:17" x14ac:dyDescent="0.25">
      <c r="A36" s="25">
        <v>0.5</v>
      </c>
      <c r="B36" s="6">
        <v>0.9</v>
      </c>
      <c r="C36" s="6">
        <v>0.25</v>
      </c>
      <c r="D36" s="6">
        <v>0.5</v>
      </c>
      <c r="E36" s="68">
        <f t="shared" si="1"/>
        <v>0.98124999999999996</v>
      </c>
      <c r="F36" s="69">
        <f t="shared" si="2"/>
        <v>98.125</v>
      </c>
      <c r="G36" s="76" t="s">
        <v>307</v>
      </c>
      <c r="H36" s="125">
        <f t="shared" si="4"/>
        <v>0.94122822747742318</v>
      </c>
      <c r="J36" s="7">
        <v>35</v>
      </c>
      <c r="K36" s="79">
        <v>0.95499999999999996</v>
      </c>
      <c r="L36" s="80">
        <v>0.8629999867911009</v>
      </c>
      <c r="P36" s="81">
        <f t="shared" si="3"/>
        <v>0.97142857142857164</v>
      </c>
      <c r="Q36" s="81">
        <f t="shared" si="0"/>
        <v>0.91141210543914697</v>
      </c>
    </row>
    <row r="37" spans="1:17" x14ac:dyDescent="0.25">
      <c r="A37" s="25">
        <v>0.7</v>
      </c>
      <c r="B37" s="6">
        <v>0.05</v>
      </c>
      <c r="C37" s="6">
        <v>0.25</v>
      </c>
      <c r="D37" s="6">
        <v>0.5</v>
      </c>
      <c r="E37" s="68">
        <f t="shared" si="1"/>
        <v>0.89312499999999995</v>
      </c>
      <c r="F37" s="69">
        <f t="shared" si="2"/>
        <v>89.3125</v>
      </c>
      <c r="G37" s="75" t="s">
        <v>143</v>
      </c>
      <c r="H37" s="125">
        <f t="shared" si="4"/>
        <v>0.69649689975213147</v>
      </c>
      <c r="J37" s="7">
        <v>36</v>
      </c>
      <c r="K37" s="79">
        <v>0.89312499999999995</v>
      </c>
      <c r="L37" s="80">
        <v>0.69649689975213147</v>
      </c>
      <c r="P37" s="81">
        <f t="shared" si="3"/>
        <v>1.0000000000000002</v>
      </c>
      <c r="Q37" s="81">
        <f t="shared" si="0"/>
        <v>1.0000000000000007</v>
      </c>
    </row>
    <row r="38" spans="1:17" x14ac:dyDescent="0.25">
      <c r="A38" s="25">
        <v>0.7</v>
      </c>
      <c r="B38" s="6">
        <v>0.6</v>
      </c>
      <c r="C38" s="6">
        <v>0.25</v>
      </c>
      <c r="D38" s="6">
        <v>0.5</v>
      </c>
      <c r="E38" s="68">
        <f t="shared" si="1"/>
        <v>0.95499999999999996</v>
      </c>
      <c r="F38" s="69">
        <f t="shared" si="2"/>
        <v>95.5</v>
      </c>
      <c r="G38" s="76" t="s">
        <v>307</v>
      </c>
      <c r="H38" s="125">
        <f t="shared" si="4"/>
        <v>0.8629999867911009</v>
      </c>
    </row>
    <row r="39" spans="1:17" ht="15.75" thickBot="1" x14ac:dyDescent="0.3">
      <c r="A39" s="26">
        <v>0.7</v>
      </c>
      <c r="B39" s="24">
        <v>0.05</v>
      </c>
      <c r="C39" s="24">
        <v>0.25</v>
      </c>
      <c r="D39" s="24">
        <v>0.5</v>
      </c>
      <c r="E39" s="126">
        <f t="shared" si="1"/>
        <v>0.89312499999999995</v>
      </c>
      <c r="F39" s="121">
        <f t="shared" si="2"/>
        <v>89.3125</v>
      </c>
      <c r="G39" s="127" t="s">
        <v>143</v>
      </c>
      <c r="H39" s="128">
        <f t="shared" si="4"/>
        <v>0.69649689975213147</v>
      </c>
    </row>
  </sheetData>
  <mergeCells count="9">
    <mergeCell ref="H2:H3"/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E721-06A8-4441-9A71-682BBC90FCBC}">
  <dimension ref="A1:M39"/>
  <sheetViews>
    <sheetView workbookViewId="0">
      <selection activeCell="M20" sqref="M20"/>
    </sheetView>
  </sheetViews>
  <sheetFormatPr baseColWidth="10" defaultRowHeight="15" x14ac:dyDescent="0.25"/>
  <cols>
    <col min="11" max="11" width="11.42578125" style="173"/>
  </cols>
  <sheetData>
    <row r="1" spans="1:13" ht="15" customHeight="1" x14ac:dyDescent="0.25">
      <c r="A1" s="162" t="str">
        <f>EDIFICACIONES!AL1</f>
        <v>INTENSIDAD</v>
      </c>
      <c r="B1" s="157"/>
      <c r="C1" s="157"/>
      <c r="D1" s="183"/>
      <c r="E1" s="180" t="str">
        <f>EDIFICACIONES!AP1</f>
        <v>1-Se</v>
      </c>
      <c r="F1" s="184" t="str">
        <f>EDIFICACIONES!AQ1</f>
        <v>VULNERABILIDAD FISICA</v>
      </c>
      <c r="G1" s="185"/>
      <c r="H1" s="186"/>
      <c r="I1" s="134" t="str">
        <f>EDIFICACIONES!AT1</f>
        <v>VULNERABILIDAD PERSONAS</v>
      </c>
      <c r="J1" s="134"/>
      <c r="K1" s="172"/>
      <c r="L1" s="176" t="s">
        <v>334</v>
      </c>
      <c r="M1" s="177"/>
    </row>
    <row r="2" spans="1:13" ht="15" customHeight="1" x14ac:dyDescent="0.25">
      <c r="A2" s="178" t="str">
        <f>EDIFICACIONES!AL2</f>
        <v>Idef</v>
      </c>
      <c r="B2" s="178" t="str">
        <f>EDIFICACIONES!AM2</f>
        <v>Ivel</v>
      </c>
      <c r="C2" s="178" t="str">
        <f>EDIFICACIONES!AN2</f>
        <v>Ipro</v>
      </c>
      <c r="D2" s="178" t="str">
        <f>EDIFICACIONES!AO2</f>
        <v>I</v>
      </c>
      <c r="E2" s="181"/>
      <c r="F2" s="178" t="str">
        <f>EDIFICACIONES!AQ2</f>
        <v>Valor</v>
      </c>
      <c r="G2" s="178" t="str">
        <f>EDIFICACIONES!AR2</f>
        <v>zonificacion</v>
      </c>
      <c r="H2" s="178" t="str">
        <f>EDIFICACIONES!AS2</f>
        <v>SPER</v>
      </c>
      <c r="I2" s="178" t="str">
        <f>EDIFICACIONES!AT2</f>
        <v>VALOR</v>
      </c>
      <c r="J2" s="178" t="str">
        <f>EDIFICACIONES!AU2</f>
        <v>ZONIFICACION</v>
      </c>
      <c r="K2" s="172"/>
      <c r="L2" s="2" t="s">
        <v>308</v>
      </c>
      <c r="M2" s="2">
        <v>26</v>
      </c>
    </row>
    <row r="3" spans="1:13" x14ac:dyDescent="0.25">
      <c r="A3" s="179"/>
      <c r="B3" s="179"/>
      <c r="C3" s="179"/>
      <c r="D3" s="179"/>
      <c r="E3" s="182"/>
      <c r="F3" s="179"/>
      <c r="G3" s="179"/>
      <c r="H3" s="179"/>
      <c r="I3" s="179"/>
      <c r="J3" s="179"/>
      <c r="K3" s="172"/>
      <c r="L3" s="2" t="s">
        <v>335</v>
      </c>
      <c r="M3" s="2">
        <v>6</v>
      </c>
    </row>
    <row r="4" spans="1:13" x14ac:dyDescent="0.25">
      <c r="A4" s="19">
        <f>EDIFICACIONES!AL4</f>
        <v>0.1</v>
      </c>
      <c r="B4" s="9">
        <f>EDIFICACIONES!AM4</f>
        <v>0.1</v>
      </c>
      <c r="C4" s="9">
        <f>EDIFICACIONES!AN4</f>
        <v>0</v>
      </c>
      <c r="D4" s="9">
        <f>EDIFICACIONES!AO4</f>
        <v>0.18999999999999995</v>
      </c>
      <c r="E4" s="125">
        <f>EDIFICACIONES!AP4</f>
        <v>0.10687500000000005</v>
      </c>
      <c r="F4" s="129">
        <f>EDIFICACIONES!AQ4</f>
        <v>0.58874087248982743</v>
      </c>
      <c r="G4" s="71" t="str">
        <f>EDIFICACIONES!AR4</f>
        <v>Alta</v>
      </c>
      <c r="H4" s="97">
        <f>EDIFICACIONES!AS4</f>
        <v>0.30350310024786853</v>
      </c>
      <c r="I4" s="95">
        <f>EDIFICACIONES!AT4</f>
        <v>0.19595256054109134</v>
      </c>
      <c r="J4" s="72" t="str">
        <f>EDIFICACIONES!AU4</f>
        <v>Baja</v>
      </c>
      <c r="K4" s="170"/>
      <c r="L4" s="2" t="s">
        <v>330</v>
      </c>
      <c r="M4" s="2">
        <v>4</v>
      </c>
    </row>
    <row r="5" spans="1:13" x14ac:dyDescent="0.25">
      <c r="A5" s="19">
        <f>EDIFICACIONES!AL5</f>
        <v>0.1</v>
      </c>
      <c r="B5" s="9">
        <f>EDIFICACIONES!AM5</f>
        <v>0.1</v>
      </c>
      <c r="C5" s="9">
        <f>EDIFICACIONES!AN5</f>
        <v>0</v>
      </c>
      <c r="D5" s="9">
        <f>EDIFICACIONES!AO5</f>
        <v>0.18999999999999995</v>
      </c>
      <c r="E5" s="125">
        <f>EDIFICACIONES!AP5</f>
        <v>0.14250000000000007</v>
      </c>
      <c r="F5" s="129">
        <f>EDIFICACIONES!AQ5</f>
        <v>0.55385936132053804</v>
      </c>
      <c r="G5" s="71" t="str">
        <f>EDIFICACIONES!AR5</f>
        <v>Alta</v>
      </c>
      <c r="H5" s="97">
        <f>EDIFICACIONES!AS5</f>
        <v>0.38856652511041345</v>
      </c>
      <c r="I5" s="95">
        <f>EDIFICACIONES!AT5</f>
        <v>0.11954913528971631</v>
      </c>
      <c r="J5" s="72" t="str">
        <f>EDIFICACIONES!AU5</f>
        <v>Baja</v>
      </c>
      <c r="K5" s="170"/>
      <c r="L5" s="176" t="s">
        <v>336</v>
      </c>
      <c r="M5" s="177"/>
    </row>
    <row r="6" spans="1:13" x14ac:dyDescent="0.25">
      <c r="A6" s="19">
        <f>EDIFICACIONES!AL6</f>
        <v>0.1</v>
      </c>
      <c r="B6" s="9">
        <f>EDIFICACIONES!AM6</f>
        <v>0.1</v>
      </c>
      <c r="C6" s="9">
        <f>EDIFICACIONES!AN6</f>
        <v>0</v>
      </c>
      <c r="D6" s="9">
        <f>EDIFICACIONES!AO6</f>
        <v>0.18999999999999995</v>
      </c>
      <c r="E6" s="125">
        <f>EDIFICACIONES!AP6</f>
        <v>0.10687500000000005</v>
      </c>
      <c r="F6" s="129">
        <f>EDIFICACIONES!AQ6</f>
        <v>0.58874087248982743</v>
      </c>
      <c r="G6" s="71" t="str">
        <f>EDIFICACIONES!AR6</f>
        <v>Alta</v>
      </c>
      <c r="H6" s="97">
        <f>EDIFICACIONES!AS6</f>
        <v>0.30350310024786853</v>
      </c>
      <c r="I6" s="95">
        <f>EDIFICACIONES!AT6</f>
        <v>0.19595256054109134</v>
      </c>
      <c r="J6" s="72" t="str">
        <f>EDIFICACIONES!AU6</f>
        <v>Baja</v>
      </c>
      <c r="K6" s="170"/>
      <c r="L6" s="2" t="s">
        <v>143</v>
      </c>
      <c r="M6" s="2">
        <v>5</v>
      </c>
    </row>
    <row r="7" spans="1:13" x14ac:dyDescent="0.25">
      <c r="A7" s="19">
        <f>EDIFICACIONES!AL7</f>
        <v>0.1</v>
      </c>
      <c r="B7" s="9">
        <f>EDIFICACIONES!AM7</f>
        <v>0.1</v>
      </c>
      <c r="C7" s="9">
        <f>EDIFICACIONES!AN7</f>
        <v>0</v>
      </c>
      <c r="D7" s="9">
        <f>EDIFICACIONES!AO7</f>
        <v>0.18999999999999995</v>
      </c>
      <c r="E7" s="125">
        <f>EDIFICACIONES!AP7</f>
        <v>0.10687500000000005</v>
      </c>
      <c r="F7" s="129">
        <f>EDIFICACIONES!AQ7</f>
        <v>0.58874087248982743</v>
      </c>
      <c r="G7" s="71" t="str">
        <f>EDIFICACIONES!AR7</f>
        <v>Alta</v>
      </c>
      <c r="H7" s="97">
        <f>EDIFICACIONES!AS7</f>
        <v>0.30350310024786853</v>
      </c>
      <c r="I7" s="95">
        <f>EDIFICACIONES!AT7</f>
        <v>0.19595256054109134</v>
      </c>
      <c r="J7" s="72" t="str">
        <f>EDIFICACIONES!AU7</f>
        <v>Baja</v>
      </c>
      <c r="K7" s="170"/>
      <c r="L7" s="2" t="s">
        <v>154</v>
      </c>
      <c r="M7" s="2">
        <v>3</v>
      </c>
    </row>
    <row r="8" spans="1:13" x14ac:dyDescent="0.25">
      <c r="A8" s="19">
        <f>EDIFICACIONES!AL8</f>
        <v>0.1</v>
      </c>
      <c r="B8" s="9">
        <f>EDIFICACIONES!AM8</f>
        <v>0.1</v>
      </c>
      <c r="C8" s="9">
        <f>EDIFICACIONES!AN8</f>
        <v>0</v>
      </c>
      <c r="D8" s="9">
        <f>EDIFICACIONES!AO8</f>
        <v>0.18999999999999995</v>
      </c>
      <c r="E8" s="125">
        <f>EDIFICACIONES!AP8</f>
        <v>0.10687500000000005</v>
      </c>
      <c r="F8" s="129">
        <f>EDIFICACIONES!AQ8</f>
        <v>0.58874087248982743</v>
      </c>
      <c r="G8" s="71" t="str">
        <f>EDIFICACIONES!AR8</f>
        <v>Alta</v>
      </c>
      <c r="H8" s="97">
        <f>EDIFICACIONES!AS8</f>
        <v>0.30350310024786853</v>
      </c>
      <c r="I8" s="95">
        <f>EDIFICACIONES!AT8</f>
        <v>0.19595256054109134</v>
      </c>
      <c r="J8" s="72" t="str">
        <f>EDIFICACIONES!AU8</f>
        <v>Baja</v>
      </c>
      <c r="K8" s="170"/>
      <c r="L8" s="2" t="s">
        <v>330</v>
      </c>
      <c r="M8" s="2">
        <v>28</v>
      </c>
    </row>
    <row r="9" spans="1:13" ht="15" customHeight="1" x14ac:dyDescent="0.25">
      <c r="A9" s="19">
        <f>EDIFICACIONES!AL9</f>
        <v>0.1</v>
      </c>
      <c r="B9" s="9">
        <f>EDIFICACIONES!AM9</f>
        <v>0.1</v>
      </c>
      <c r="C9" s="9">
        <f>EDIFICACIONES!AN9</f>
        <v>0</v>
      </c>
      <c r="D9" s="9">
        <f>EDIFICACIONES!AO9</f>
        <v>0.18999999999999995</v>
      </c>
      <c r="E9" s="125">
        <f>EDIFICACIONES!AP9</f>
        <v>7.1250000000000036E-2</v>
      </c>
      <c r="F9" s="129">
        <f>EDIFICACIONES!AQ9</f>
        <v>0.6196859336761773</v>
      </c>
      <c r="G9" s="71" t="str">
        <f>EDIFICACIONES!AR9</f>
        <v>Alta</v>
      </c>
      <c r="H9" s="97">
        <f>EDIFICACIONES!AS9</f>
        <v>0.2106379452990178</v>
      </c>
      <c r="I9" s="95">
        <f>EDIFICACIONES!AT9</f>
        <v>0.40682158432788484</v>
      </c>
      <c r="J9" s="73" t="str">
        <f>EDIFICACIONES!AU9</f>
        <v>Media</v>
      </c>
      <c r="K9" s="170"/>
    </row>
    <row r="10" spans="1:13" ht="15" customHeight="1" x14ac:dyDescent="0.25">
      <c r="A10" s="19">
        <f>EDIFICACIONES!AL10</f>
        <v>0.1</v>
      </c>
      <c r="B10" s="9">
        <f>EDIFICACIONES!AM10</f>
        <v>0.1</v>
      </c>
      <c r="C10" s="9">
        <f>EDIFICACIONES!AN10</f>
        <v>0</v>
      </c>
      <c r="D10" s="9">
        <f>EDIFICACIONES!AO10</f>
        <v>0.18999999999999995</v>
      </c>
      <c r="E10" s="125">
        <f>EDIFICACIONES!AP10</f>
        <v>3.0000000000000027E-2</v>
      </c>
      <c r="F10" s="129">
        <f>EDIFICACIONES!AQ10</f>
        <v>0.6513444574343713</v>
      </c>
      <c r="G10" s="71" t="str">
        <f>EDIFICACIONES!AR10</f>
        <v>Alta</v>
      </c>
      <c r="H10" s="97">
        <f>EDIFICACIONES!AS10</f>
        <v>9.2869958699791422E-2</v>
      </c>
      <c r="I10" s="95">
        <f>EDIFICACIONES!AT10</f>
        <v>0.6513444574343713</v>
      </c>
      <c r="J10" s="71" t="str">
        <f>EDIFICACIONES!AU10</f>
        <v>Alta</v>
      </c>
      <c r="K10" s="170"/>
    </row>
    <row r="11" spans="1:13" x14ac:dyDescent="0.25">
      <c r="A11" s="19">
        <f>EDIFICACIONES!AL11</f>
        <v>0.1</v>
      </c>
      <c r="B11" s="9">
        <f>EDIFICACIONES!AM11</f>
        <v>0.1</v>
      </c>
      <c r="C11" s="9">
        <f>EDIFICACIONES!AN11</f>
        <v>0</v>
      </c>
      <c r="D11" s="9">
        <f>EDIFICACIONES!AO11</f>
        <v>0.18999999999999995</v>
      </c>
      <c r="E11" s="125">
        <f>EDIFICACIONES!AP11</f>
        <v>0.10687500000000005</v>
      </c>
      <c r="F11" s="129">
        <f>EDIFICACIONES!AQ11</f>
        <v>0.58874087248982743</v>
      </c>
      <c r="G11" s="71" t="str">
        <f>EDIFICACIONES!AR11</f>
        <v>Alta</v>
      </c>
      <c r="H11" s="97">
        <f>EDIFICACIONES!AS11</f>
        <v>0.30350310024786853</v>
      </c>
      <c r="I11" s="95">
        <f>EDIFICACIONES!AT11</f>
        <v>0.19595256054109134</v>
      </c>
      <c r="J11" s="72" t="str">
        <f>EDIFICACIONES!AU11</f>
        <v>Baja</v>
      </c>
      <c r="K11" s="170"/>
    </row>
    <row r="12" spans="1:13" x14ac:dyDescent="0.25">
      <c r="A12" s="19">
        <f>EDIFICACIONES!AL12</f>
        <v>0.1</v>
      </c>
      <c r="B12" s="9">
        <f>EDIFICACIONES!AM12</f>
        <v>0.1</v>
      </c>
      <c r="C12" s="9">
        <f>EDIFICACIONES!AN12</f>
        <v>0</v>
      </c>
      <c r="D12" s="9">
        <f>EDIFICACIONES!AO12</f>
        <v>0.18999999999999995</v>
      </c>
      <c r="E12" s="125">
        <f>EDIFICACIONES!AP12</f>
        <v>0.19599999999999995</v>
      </c>
      <c r="F12" s="129">
        <f>EDIFICACIONES!AQ12</f>
        <v>0.46985630987088711</v>
      </c>
      <c r="G12" s="73" t="str">
        <f>EDIFICACIONES!AR12</f>
        <v>Media</v>
      </c>
      <c r="H12" s="97">
        <f>EDIFICACIONES!AS12</f>
        <v>0.50246990481062648</v>
      </c>
      <c r="I12" s="95">
        <f>EDIFICACIONES!AT12</f>
        <v>7.1491942304827444E-2</v>
      </c>
      <c r="J12" s="72" t="str">
        <f>EDIFICACIONES!AU12</f>
        <v>Baja</v>
      </c>
      <c r="K12" s="170"/>
    </row>
    <row r="13" spans="1:13" x14ac:dyDescent="0.25">
      <c r="A13" s="19">
        <f>EDIFICACIONES!AL13</f>
        <v>0.1</v>
      </c>
      <c r="B13" s="9">
        <f>EDIFICACIONES!AM13</f>
        <v>0.1</v>
      </c>
      <c r="C13" s="9">
        <f>EDIFICACIONES!AN13</f>
        <v>0</v>
      </c>
      <c r="D13" s="9">
        <f>EDIFICACIONES!AO13</f>
        <v>0.18999999999999995</v>
      </c>
      <c r="E13" s="125">
        <f>EDIFICACIONES!AP13</f>
        <v>7.1250000000000036E-2</v>
      </c>
      <c r="F13" s="129">
        <f>EDIFICACIONES!AQ13</f>
        <v>0.6196859336761773</v>
      </c>
      <c r="G13" s="71" t="str">
        <f>EDIFICACIONES!AR13</f>
        <v>Alta</v>
      </c>
      <c r="H13" s="97">
        <f>EDIFICACIONES!AS13</f>
        <v>0.2106379452990178</v>
      </c>
      <c r="I13" s="95">
        <f>EDIFICACIONES!AT13</f>
        <v>0.40682158432788484</v>
      </c>
      <c r="J13" s="73" t="str">
        <f>EDIFICACIONES!AU13</f>
        <v>Media</v>
      </c>
      <c r="K13" s="170"/>
    </row>
    <row r="14" spans="1:13" x14ac:dyDescent="0.25">
      <c r="A14" s="19">
        <f>EDIFICACIONES!AL14</f>
        <v>0.1</v>
      </c>
      <c r="B14" s="9">
        <f>EDIFICACIONES!AM14</f>
        <v>0.1</v>
      </c>
      <c r="C14" s="9">
        <f>EDIFICACIONES!AN14</f>
        <v>0</v>
      </c>
      <c r="D14" s="9">
        <f>EDIFICACIONES!AO14</f>
        <v>0.18999999999999995</v>
      </c>
      <c r="E14" s="125">
        <f>EDIFICACIONES!AP14</f>
        <v>0.14962500000000001</v>
      </c>
      <c r="F14" s="129">
        <f>EDIFICACIONES!AQ14</f>
        <v>0.54635192310488767</v>
      </c>
      <c r="G14" s="71" t="str">
        <f>EDIFICACIONES!AR14</f>
        <v>Alta</v>
      </c>
      <c r="H14" s="97">
        <f>EDIFICACIONES!AS14</f>
        <v>0.40467578400797322</v>
      </c>
      <c r="I14" s="95">
        <f>EDIFICACIONES!AT14</f>
        <v>0.11022060046896387</v>
      </c>
      <c r="J14" s="72" t="str">
        <f>EDIFICACIONES!AU14</f>
        <v>Baja</v>
      </c>
      <c r="K14" s="170"/>
    </row>
    <row r="15" spans="1:13" x14ac:dyDescent="0.25">
      <c r="A15" s="19">
        <f>EDIFICACIONES!AL15</f>
        <v>0.1</v>
      </c>
      <c r="B15" s="9">
        <f>EDIFICACIONES!AM15</f>
        <v>0.1</v>
      </c>
      <c r="C15" s="9">
        <f>EDIFICACIONES!AN15</f>
        <v>0</v>
      </c>
      <c r="D15" s="9">
        <f>EDIFICACIONES!AO15</f>
        <v>0.18999999999999995</v>
      </c>
      <c r="E15" s="125">
        <f>EDIFICACIONES!AP15</f>
        <v>0.14962500000000001</v>
      </c>
      <c r="F15" s="129">
        <f>EDIFICACIONES!AQ15</f>
        <v>0.54635192310488767</v>
      </c>
      <c r="G15" s="71" t="str">
        <f>EDIFICACIONES!AR15</f>
        <v>Alta</v>
      </c>
      <c r="H15" s="97">
        <f>EDIFICACIONES!AS15</f>
        <v>0.40467578400797322</v>
      </c>
      <c r="I15" s="95">
        <f>EDIFICACIONES!AT15</f>
        <v>0.11022060046896387</v>
      </c>
      <c r="J15" s="72" t="str">
        <f>EDIFICACIONES!AU15</f>
        <v>Baja</v>
      </c>
      <c r="K15" s="170"/>
    </row>
    <row r="16" spans="1:13" x14ac:dyDescent="0.25">
      <c r="A16" s="19">
        <f>EDIFICACIONES!AL16</f>
        <v>0.1</v>
      </c>
      <c r="B16" s="9">
        <f>EDIFICACIONES!AM16</f>
        <v>0.1</v>
      </c>
      <c r="C16" s="9">
        <f>EDIFICACIONES!AN16</f>
        <v>0</v>
      </c>
      <c r="D16" s="9">
        <f>EDIFICACIONES!AO16</f>
        <v>0.18999999999999995</v>
      </c>
      <c r="E16" s="125">
        <f>EDIFICACIONES!AP16</f>
        <v>0.33250000000000002</v>
      </c>
      <c r="F16" s="129">
        <f>EDIFICACIONES!AQ16</f>
        <v>0.16326530612244891</v>
      </c>
      <c r="G16" s="72" t="str">
        <f>EDIFICACIONES!AR16</f>
        <v>Baja</v>
      </c>
      <c r="H16" s="97">
        <f>EDIFICACIONES!AS16</f>
        <v>0.72568846896085248</v>
      </c>
      <c r="I16" s="95">
        <f>EDIFICACIONES!AT16</f>
        <v>3.4274944613666945E-2</v>
      </c>
      <c r="J16" s="72" t="str">
        <f>EDIFICACIONES!AU16</f>
        <v>Baja</v>
      </c>
      <c r="K16" s="170"/>
    </row>
    <row r="17" spans="1:11" x14ac:dyDescent="0.25">
      <c r="A17" s="19">
        <f>EDIFICACIONES!AL17</f>
        <v>0.1</v>
      </c>
      <c r="B17" s="9">
        <f>EDIFICACIONES!AM17</f>
        <v>0.1</v>
      </c>
      <c r="C17" s="9">
        <f>EDIFICACIONES!AN17</f>
        <v>0</v>
      </c>
      <c r="D17" s="9">
        <f>EDIFICACIONES!AO17</f>
        <v>0.18999999999999995</v>
      </c>
      <c r="E17" s="125">
        <f>EDIFICACIONES!AP17</f>
        <v>0.33250000000000002</v>
      </c>
      <c r="F17" s="129">
        <f>EDIFICACIONES!AQ17</f>
        <v>0.16326530612244891</v>
      </c>
      <c r="G17" s="72" t="str">
        <f>EDIFICACIONES!AR17</f>
        <v>Baja</v>
      </c>
      <c r="H17" s="97">
        <f>EDIFICACIONES!AS17</f>
        <v>0.72568846896085248</v>
      </c>
      <c r="I17" s="95">
        <f>EDIFICACIONES!AT17</f>
        <v>3.4274944613666945E-2</v>
      </c>
      <c r="J17" s="72" t="str">
        <f>EDIFICACIONES!AU17</f>
        <v>Baja</v>
      </c>
      <c r="K17" s="170"/>
    </row>
    <row r="18" spans="1:11" x14ac:dyDescent="0.25">
      <c r="A18" s="19">
        <f>EDIFICACIONES!AL18</f>
        <v>0.1</v>
      </c>
      <c r="B18" s="9">
        <f>EDIFICACIONES!AM18</f>
        <v>0.1</v>
      </c>
      <c r="C18" s="9">
        <f>EDIFICACIONES!AN18</f>
        <v>0</v>
      </c>
      <c r="D18" s="9">
        <f>EDIFICACIONES!AO18</f>
        <v>0.18999999999999995</v>
      </c>
      <c r="E18" s="125">
        <f>EDIFICACIONES!AP18</f>
        <v>0.33250000000000002</v>
      </c>
      <c r="F18" s="129">
        <f>EDIFICACIONES!AQ18</f>
        <v>0.16326530612244891</v>
      </c>
      <c r="G18" s="72" t="str">
        <f>EDIFICACIONES!AR18</f>
        <v>Baja</v>
      </c>
      <c r="H18" s="97">
        <f>EDIFICACIONES!AS18</f>
        <v>0.72568846896085248</v>
      </c>
      <c r="I18" s="95">
        <f>EDIFICACIONES!AT18</f>
        <v>3.4274944613666945E-2</v>
      </c>
      <c r="J18" s="72" t="str">
        <f>EDIFICACIONES!AU18</f>
        <v>Baja</v>
      </c>
      <c r="K18" s="170"/>
    </row>
    <row r="19" spans="1:11" x14ac:dyDescent="0.25">
      <c r="A19" s="19">
        <f>EDIFICACIONES!AL19</f>
        <v>0.1</v>
      </c>
      <c r="B19" s="9">
        <f>EDIFICACIONES!AM19</f>
        <v>0.1</v>
      </c>
      <c r="C19" s="9">
        <f>EDIFICACIONES!AN19</f>
        <v>0</v>
      </c>
      <c r="D19" s="9">
        <f>EDIFICACIONES!AO19</f>
        <v>0.18999999999999995</v>
      </c>
      <c r="E19" s="125">
        <f>EDIFICACIONES!AP19</f>
        <v>9.9999999999999978E-2</v>
      </c>
      <c r="F19" s="129">
        <f>EDIFICACIONES!AQ19</f>
        <v>0.59499999999999997</v>
      </c>
      <c r="G19" s="71" t="str">
        <f>EDIFICACIONES!AR19</f>
        <v>Alta</v>
      </c>
      <c r="H19" s="97">
        <f>EDIFICACIONES!AS19</f>
        <v>0.28620084383884792</v>
      </c>
      <c r="I19" s="95">
        <f>EDIFICACIONES!AT19</f>
        <v>0.2203613307702541</v>
      </c>
      <c r="J19" s="72" t="str">
        <f>EDIFICACIONES!AU19</f>
        <v>Baja</v>
      </c>
      <c r="K19" s="170"/>
    </row>
    <row r="20" spans="1:11" x14ac:dyDescent="0.25">
      <c r="A20" s="19">
        <f>EDIFICACIONES!AL20</f>
        <v>0.1</v>
      </c>
      <c r="B20" s="9">
        <f>EDIFICACIONES!AM20</f>
        <v>0.1</v>
      </c>
      <c r="C20" s="9">
        <f>EDIFICACIONES!AN20</f>
        <v>0</v>
      </c>
      <c r="D20" s="9">
        <f>EDIFICACIONES!AO20</f>
        <v>0.18999999999999995</v>
      </c>
      <c r="E20" s="125">
        <f>EDIFICACIONES!AP20</f>
        <v>0.23750000000000004</v>
      </c>
      <c r="F20" s="129">
        <f>EDIFICACIONES!AQ20</f>
        <v>0.31999999999999967</v>
      </c>
      <c r="G20" s="73" t="str">
        <f>EDIFICACIONES!AR20</f>
        <v>Media</v>
      </c>
      <c r="H20" s="97">
        <f>EDIFICACIONES!AS20</f>
        <v>0.58007907767146971</v>
      </c>
      <c r="I20" s="95">
        <f>EDIFICACIONES!AT20</f>
        <v>5.3641733362237112E-2</v>
      </c>
      <c r="J20" s="72" t="str">
        <f>EDIFICACIONES!AU20</f>
        <v>Baja</v>
      </c>
      <c r="K20" s="170"/>
    </row>
    <row r="21" spans="1:11" x14ac:dyDescent="0.25">
      <c r="A21" s="19">
        <f>EDIFICACIONES!AL21</f>
        <v>0.1</v>
      </c>
      <c r="B21" s="9">
        <f>EDIFICACIONES!AM21</f>
        <v>0.1</v>
      </c>
      <c r="C21" s="9">
        <f>EDIFICACIONES!AN21</f>
        <v>0</v>
      </c>
      <c r="D21" s="9">
        <f>EDIFICACIONES!AO21</f>
        <v>0.18999999999999995</v>
      </c>
      <c r="E21" s="125">
        <f>EDIFICACIONES!AP21</f>
        <v>0.23750000000000004</v>
      </c>
      <c r="F21" s="129">
        <f>EDIFICACIONES!AQ21</f>
        <v>0.31999999999999967</v>
      </c>
      <c r="G21" s="73" t="str">
        <f>EDIFICACIONES!AR21</f>
        <v>Media</v>
      </c>
      <c r="H21" s="97">
        <f>EDIFICACIONES!AS21</f>
        <v>0.58007907767146971</v>
      </c>
      <c r="I21" s="95">
        <f>EDIFICACIONES!AT21</f>
        <v>5.3641733362237112E-2</v>
      </c>
      <c r="J21" s="72" t="str">
        <f>EDIFICACIONES!AU21</f>
        <v>Baja</v>
      </c>
      <c r="K21" s="170"/>
    </row>
    <row r="22" spans="1:11" x14ac:dyDescent="0.25">
      <c r="A22" s="19">
        <f>EDIFICACIONES!AL22</f>
        <v>0.1</v>
      </c>
      <c r="B22" s="9">
        <f>EDIFICACIONES!AM22</f>
        <v>0.1</v>
      </c>
      <c r="C22" s="9">
        <f>EDIFICACIONES!AN22</f>
        <v>0</v>
      </c>
      <c r="D22" s="9">
        <f>EDIFICACIONES!AO22</f>
        <v>0.18999999999999995</v>
      </c>
      <c r="E22" s="125">
        <f>EDIFICACIONES!AP22</f>
        <v>0.23750000000000004</v>
      </c>
      <c r="F22" s="129">
        <f>EDIFICACIONES!AQ22</f>
        <v>0.31999999999999967</v>
      </c>
      <c r="G22" s="73" t="str">
        <f>EDIFICACIONES!AR22</f>
        <v>Media</v>
      </c>
      <c r="H22" s="97">
        <f>EDIFICACIONES!AS22</f>
        <v>0.58007907767146971</v>
      </c>
      <c r="I22" s="95">
        <f>EDIFICACIONES!AT22</f>
        <v>5.3641733362237112E-2</v>
      </c>
      <c r="J22" s="72" t="str">
        <f>EDIFICACIONES!AU22</f>
        <v>Baja</v>
      </c>
      <c r="K22" s="170"/>
    </row>
    <row r="23" spans="1:11" x14ac:dyDescent="0.25">
      <c r="A23" s="19">
        <f>EDIFICACIONES!AL23</f>
        <v>0.1</v>
      </c>
      <c r="B23" s="9">
        <f>EDIFICACIONES!AM23</f>
        <v>0.1</v>
      </c>
      <c r="C23" s="9">
        <f>EDIFICACIONES!AN23</f>
        <v>0</v>
      </c>
      <c r="D23" s="9">
        <f>EDIFICACIONES!AO23</f>
        <v>0.18999999999999995</v>
      </c>
      <c r="E23" s="125">
        <f>EDIFICACIONES!AP23</f>
        <v>6.0000000000000053E-2</v>
      </c>
      <c r="F23" s="129">
        <f>EDIFICACIONES!AQ23</f>
        <v>0.62873472159348109</v>
      </c>
      <c r="G23" s="71" t="str">
        <f>EDIFICACIONES!AR23</f>
        <v>Alta</v>
      </c>
      <c r="H23" s="97">
        <f>EDIFICACIONES!AS23</f>
        <v>0.17963120669555854</v>
      </c>
      <c r="I23" s="95">
        <f>EDIFICACIONES!AT23</f>
        <v>0.62873472159348109</v>
      </c>
      <c r="J23" s="71" t="str">
        <f>EDIFICACIONES!AU23</f>
        <v>Alta</v>
      </c>
      <c r="K23" s="170"/>
    </row>
    <row r="24" spans="1:11" x14ac:dyDescent="0.25">
      <c r="A24" s="19">
        <f>EDIFICACIONES!AL24</f>
        <v>0.1</v>
      </c>
      <c r="B24" s="9">
        <f>EDIFICACIONES!AM24</f>
        <v>0.1</v>
      </c>
      <c r="C24" s="9">
        <f>EDIFICACIONES!AN24</f>
        <v>0</v>
      </c>
      <c r="D24" s="9">
        <f>EDIFICACIONES!AO24</f>
        <v>0.18999999999999995</v>
      </c>
      <c r="E24" s="125">
        <f>EDIFICACIONES!AP24</f>
        <v>7.4999999999999956E-2</v>
      </c>
      <c r="F24" s="129">
        <f>EDIFICACIONES!AQ24</f>
        <v>0.61659605551497432</v>
      </c>
      <c r="G24" s="71" t="str">
        <f>EDIFICACIONES!AR24</f>
        <v>Alta</v>
      </c>
      <c r="H24" s="97">
        <f>EDIFICACIONES!AS24</f>
        <v>0.22079174514986244</v>
      </c>
      <c r="I24" s="95">
        <f>EDIFICACIONES!AT24</f>
        <v>0.37026404547074637</v>
      </c>
      <c r="J24" s="73" t="str">
        <f>EDIFICACIONES!AU24</f>
        <v>Media</v>
      </c>
      <c r="K24" s="170"/>
    </row>
    <row r="25" spans="1:11" x14ac:dyDescent="0.25">
      <c r="A25" s="19">
        <f>EDIFICACIONES!AL25</f>
        <v>0.1</v>
      </c>
      <c r="B25" s="9">
        <f>EDIFICACIONES!AM25</f>
        <v>0.1</v>
      </c>
      <c r="C25" s="9">
        <f>EDIFICACIONES!AN25</f>
        <v>0</v>
      </c>
      <c r="D25" s="9">
        <f>EDIFICACIONES!AO25</f>
        <v>0.18999999999999995</v>
      </c>
      <c r="E25" s="125">
        <f>EDIFICACIONES!AP25</f>
        <v>0.10499999999999998</v>
      </c>
      <c r="F25" s="129">
        <f>EDIFICACIONES!AQ25</f>
        <v>0.59046222028026585</v>
      </c>
      <c r="G25" s="71" t="str">
        <f>EDIFICACIONES!AR25</f>
        <v>Alta</v>
      </c>
      <c r="H25" s="97">
        <f>EDIFICACIONES!AS25</f>
        <v>0.29881323034694685</v>
      </c>
      <c r="I25" s="95">
        <f>EDIFICACIONES!AT25</f>
        <v>0.20215177600884274</v>
      </c>
      <c r="J25" s="72" t="str">
        <f>EDIFICACIONES!AU25</f>
        <v>Baja</v>
      </c>
      <c r="K25" s="170"/>
    </row>
    <row r="26" spans="1:11" x14ac:dyDescent="0.25">
      <c r="A26" s="19">
        <f>EDIFICACIONES!AL26</f>
        <v>0.1</v>
      </c>
      <c r="B26" s="9">
        <f>EDIFICACIONES!AM26</f>
        <v>0.1</v>
      </c>
      <c r="C26" s="9">
        <f>EDIFICACIONES!AN26</f>
        <v>0</v>
      </c>
      <c r="D26" s="9">
        <f>EDIFICACIONES!AO26</f>
        <v>0.18999999999999995</v>
      </c>
      <c r="E26" s="125">
        <f>EDIFICACIONES!AP26</f>
        <v>4.500000000000004E-2</v>
      </c>
      <c r="F26" s="129">
        <f>EDIFICACIONES!AQ26</f>
        <v>0.64030591266686754</v>
      </c>
      <c r="G26" s="71" t="str">
        <f>EDIFICACIONES!AR26</f>
        <v>Alta</v>
      </c>
      <c r="H26" s="97">
        <f>EDIFICACIONES!AS26</f>
        <v>0.1370000132088991</v>
      </c>
      <c r="I26" s="95">
        <f>EDIFICACIONES!AT26</f>
        <v>0.64030591266686754</v>
      </c>
      <c r="J26" s="71" t="str">
        <f>EDIFICACIONES!AU26</f>
        <v>Alta</v>
      </c>
      <c r="K26" s="170"/>
    </row>
    <row r="27" spans="1:11" x14ac:dyDescent="0.25">
      <c r="A27" s="19">
        <f>EDIFICACIONES!AL27</f>
        <v>0.1</v>
      </c>
      <c r="B27" s="9">
        <f>EDIFICACIONES!AM27</f>
        <v>0.1</v>
      </c>
      <c r="C27" s="9">
        <f>EDIFICACIONES!AN27</f>
        <v>0</v>
      </c>
      <c r="D27" s="9">
        <f>EDIFICACIONES!AO27</f>
        <v>0.18999999999999995</v>
      </c>
      <c r="E27" s="125">
        <f>EDIFICACIONES!AP27</f>
        <v>0.23750000000000004</v>
      </c>
      <c r="F27" s="129">
        <f>EDIFICACIONES!AQ27</f>
        <v>0.31999999999999967</v>
      </c>
      <c r="G27" s="73" t="str">
        <f>EDIFICACIONES!AR27</f>
        <v>Media</v>
      </c>
      <c r="H27" s="97">
        <f>EDIFICACIONES!AS27</f>
        <v>0.58007907767146971</v>
      </c>
      <c r="I27" s="95">
        <f>EDIFICACIONES!AT27</f>
        <v>5.3641733362237112E-2</v>
      </c>
      <c r="J27" s="72" t="str">
        <f>EDIFICACIONES!AU27</f>
        <v>Baja</v>
      </c>
      <c r="K27" s="170"/>
    </row>
    <row r="28" spans="1:11" x14ac:dyDescent="0.25">
      <c r="A28" s="19">
        <f>EDIFICACIONES!AL28</f>
        <v>0.1</v>
      </c>
      <c r="B28" s="9">
        <f>EDIFICACIONES!AM28</f>
        <v>0.1</v>
      </c>
      <c r="C28" s="9">
        <f>EDIFICACIONES!AN28</f>
        <v>0</v>
      </c>
      <c r="D28" s="9">
        <f>EDIFICACIONES!AO28</f>
        <v>0.18999999999999995</v>
      </c>
      <c r="E28" s="125">
        <f>EDIFICACIONES!AP28</f>
        <v>0.23750000000000004</v>
      </c>
      <c r="F28" s="129">
        <f>EDIFICACIONES!AQ28</f>
        <v>0.31999999999999967</v>
      </c>
      <c r="G28" s="73" t="str">
        <f>EDIFICACIONES!AR28</f>
        <v>Media</v>
      </c>
      <c r="H28" s="97">
        <f>EDIFICACIONES!AS28</f>
        <v>0.58007907767146971</v>
      </c>
      <c r="I28" s="95">
        <f>EDIFICACIONES!AT28</f>
        <v>5.3641733362237112E-2</v>
      </c>
      <c r="J28" s="72" t="str">
        <f>EDIFICACIONES!AU28</f>
        <v>Baja</v>
      </c>
      <c r="K28" s="170"/>
    </row>
    <row r="29" spans="1:11" x14ac:dyDescent="0.25">
      <c r="A29" s="19">
        <f>EDIFICACIONES!AL29</f>
        <v>0.1</v>
      </c>
      <c r="B29" s="9">
        <f>EDIFICACIONES!AM29</f>
        <v>0.1</v>
      </c>
      <c r="C29" s="9">
        <f>EDIFICACIONES!AN29</f>
        <v>0</v>
      </c>
      <c r="D29" s="9">
        <f>EDIFICACIONES!AO29</f>
        <v>0.18999999999999995</v>
      </c>
      <c r="E29" s="125">
        <f>EDIFICACIONES!AP29</f>
        <v>9.9999999999999978E-2</v>
      </c>
      <c r="F29" s="129">
        <f>EDIFICACIONES!AQ29</f>
        <v>0.59499999999999997</v>
      </c>
      <c r="G29" s="71" t="str">
        <f>EDIFICACIONES!AR29</f>
        <v>Alta</v>
      </c>
      <c r="H29" s="97">
        <f>EDIFICACIONES!AS29</f>
        <v>0.28620084383884792</v>
      </c>
      <c r="I29" s="95">
        <f>EDIFICACIONES!AT29</f>
        <v>0.2203613307702541</v>
      </c>
      <c r="J29" s="72" t="str">
        <f>EDIFICACIONES!AU29</f>
        <v>Baja</v>
      </c>
      <c r="K29" s="170"/>
    </row>
    <row r="30" spans="1:11" x14ac:dyDescent="0.25">
      <c r="A30" s="19">
        <f>EDIFICACIONES!AL30</f>
        <v>0.1</v>
      </c>
      <c r="B30" s="9">
        <f>EDIFICACIONES!AM30</f>
        <v>0.1</v>
      </c>
      <c r="C30" s="9">
        <f>EDIFICACIONES!AN30</f>
        <v>0</v>
      </c>
      <c r="D30" s="9">
        <f>EDIFICACIONES!AO30</f>
        <v>0.18999999999999995</v>
      </c>
      <c r="E30" s="125">
        <f>EDIFICACIONES!AP30</f>
        <v>0.17812499999999998</v>
      </c>
      <c r="F30" s="129">
        <f>EDIFICACIONES!AQ30</f>
        <v>0.51434428718067338</v>
      </c>
      <c r="G30" s="71" t="str">
        <f>EDIFICACIONES!AR30</f>
        <v>Alta</v>
      </c>
      <c r="H30" s="97">
        <f>EDIFICACIONES!AS30</f>
        <v>0.46620012894445151</v>
      </c>
      <c r="I30" s="95">
        <f>EDIFICACIONES!AT30</f>
        <v>8.3048621407052464E-2</v>
      </c>
      <c r="J30" s="72" t="str">
        <f>EDIFICACIONES!AU30</f>
        <v>Baja</v>
      </c>
      <c r="K30" s="170"/>
    </row>
    <row r="31" spans="1:11" x14ac:dyDescent="0.25">
      <c r="A31" s="19">
        <f>EDIFICACIONES!AL31</f>
        <v>0.1</v>
      </c>
      <c r="B31" s="9">
        <f>EDIFICACIONES!AM31</f>
        <v>0.1</v>
      </c>
      <c r="C31" s="9">
        <f>EDIFICACIONES!AN31</f>
        <v>0</v>
      </c>
      <c r="D31" s="9">
        <f>EDIFICACIONES!AO31</f>
        <v>0.18999999999999995</v>
      </c>
      <c r="E31" s="125">
        <f>EDIFICACIONES!AP31</f>
        <v>0.32062499999999994</v>
      </c>
      <c r="F31" s="129">
        <f>EDIFICACIONES!AQ31</f>
        <v>0.1755829903978052</v>
      </c>
      <c r="G31" s="72" t="str">
        <f>EDIFICACIONES!AR31</f>
        <v>Baja</v>
      </c>
      <c r="H31" s="97">
        <f>EDIFICACIONES!AS31</f>
        <v>0.70976445674202626</v>
      </c>
      <c r="I31" s="95">
        <f>EDIFICACIONES!AT31</f>
        <v>3.5830157063794742E-2</v>
      </c>
      <c r="J31" s="72" t="str">
        <f>EDIFICACIONES!AU31</f>
        <v>Baja</v>
      </c>
      <c r="K31" s="170"/>
    </row>
    <row r="32" spans="1:11" x14ac:dyDescent="0.25">
      <c r="A32" s="19">
        <f>EDIFICACIONES!AL32</f>
        <v>0.1</v>
      </c>
      <c r="B32" s="9">
        <f>EDIFICACIONES!AM32</f>
        <v>0.1</v>
      </c>
      <c r="C32" s="9">
        <f>EDIFICACIONES!AN32</f>
        <v>0</v>
      </c>
      <c r="D32" s="9">
        <f>EDIFICACIONES!AO32</f>
        <v>0.18999999999999995</v>
      </c>
      <c r="E32" s="125">
        <f>EDIFICACIONES!AP32</f>
        <v>0.10499999999999998</v>
      </c>
      <c r="F32" s="129">
        <f>EDIFICACIONES!AQ32</f>
        <v>0.59046222028026585</v>
      </c>
      <c r="G32" s="71" t="str">
        <f>EDIFICACIONES!AR32</f>
        <v>Alta</v>
      </c>
      <c r="H32" s="97">
        <f>EDIFICACIONES!AS32</f>
        <v>0.29881323034694685</v>
      </c>
      <c r="I32" s="95">
        <f>EDIFICACIONES!AT32</f>
        <v>0.20215177600884274</v>
      </c>
      <c r="J32" s="72" t="str">
        <f>EDIFICACIONES!AU32</f>
        <v>Baja</v>
      </c>
      <c r="K32" s="170"/>
    </row>
    <row r="33" spans="1:11" x14ac:dyDescent="0.25">
      <c r="A33" s="19">
        <f>EDIFICACIONES!AL33</f>
        <v>0.1</v>
      </c>
      <c r="B33" s="9">
        <f>EDIFICACIONES!AM33</f>
        <v>0.1</v>
      </c>
      <c r="C33" s="9">
        <f>EDIFICACIONES!AN33</f>
        <v>0</v>
      </c>
      <c r="D33" s="9">
        <f>EDIFICACIONES!AO33</f>
        <v>0.18999999999999995</v>
      </c>
      <c r="E33" s="125">
        <f>EDIFICACIONES!AP33</f>
        <v>0.10499999999999998</v>
      </c>
      <c r="F33" s="129">
        <f>EDIFICACIONES!AQ33</f>
        <v>0.59046222028026585</v>
      </c>
      <c r="G33" s="71" t="str">
        <f>EDIFICACIONES!AR33</f>
        <v>Alta</v>
      </c>
      <c r="H33" s="97">
        <f>EDIFICACIONES!AS33</f>
        <v>0.29881323034694685</v>
      </c>
      <c r="I33" s="95">
        <f>EDIFICACIONES!AT33</f>
        <v>0.20215177600884274</v>
      </c>
      <c r="J33" s="72" t="str">
        <f>EDIFICACIONES!AU33</f>
        <v>Baja</v>
      </c>
      <c r="K33" s="170"/>
    </row>
    <row r="34" spans="1:11" x14ac:dyDescent="0.25">
      <c r="A34" s="19">
        <f>EDIFICACIONES!AL34</f>
        <v>0.1</v>
      </c>
      <c r="B34" s="9">
        <f>EDIFICACIONES!AM34</f>
        <v>0.1</v>
      </c>
      <c r="C34" s="9">
        <f>EDIFICACIONES!AN34</f>
        <v>0</v>
      </c>
      <c r="D34" s="9">
        <f>EDIFICACIONES!AO34</f>
        <v>0.18999999999999995</v>
      </c>
      <c r="E34" s="125">
        <f>EDIFICACIONES!AP34</f>
        <v>0.14700000000000002</v>
      </c>
      <c r="F34" s="129">
        <f>EDIFICACIONES!AQ34</f>
        <v>0.5491397165235723</v>
      </c>
      <c r="G34" s="71" t="str">
        <f>EDIFICACIONES!AR34</f>
        <v>Alta</v>
      </c>
      <c r="H34" s="97">
        <f>EDIFICACIONES!AS34</f>
        <v>0.39877518175103888</v>
      </c>
      <c r="I34" s="95">
        <f>EDIFICACIONES!AT34</f>
        <v>0.11350656028052673</v>
      </c>
      <c r="J34" s="72" t="str">
        <f>EDIFICACIONES!AU34</f>
        <v>Baja</v>
      </c>
      <c r="K34" s="170"/>
    </row>
    <row r="35" spans="1:11" x14ac:dyDescent="0.25">
      <c r="A35" s="19">
        <f>EDIFICACIONES!AL35</f>
        <v>0.1</v>
      </c>
      <c r="B35" s="9">
        <f>EDIFICACIONES!AM35</f>
        <v>0.1</v>
      </c>
      <c r="C35" s="9">
        <f>EDIFICACIONES!AN35</f>
        <v>0</v>
      </c>
      <c r="D35" s="9">
        <f>EDIFICACIONES!AO35</f>
        <v>0.18999999999999995</v>
      </c>
      <c r="E35" s="125">
        <f>EDIFICACIONES!AP35</f>
        <v>0.10687500000000005</v>
      </c>
      <c r="F35" s="129">
        <f>EDIFICACIONES!AQ35</f>
        <v>0.58874087248982743</v>
      </c>
      <c r="G35" s="71" t="str">
        <f>EDIFICACIONES!AR35</f>
        <v>Alta</v>
      </c>
      <c r="H35" s="97">
        <f>EDIFICACIONES!AS35</f>
        <v>0.30350310024786853</v>
      </c>
      <c r="I35" s="95">
        <f>EDIFICACIONES!AT35</f>
        <v>0.19595256054109134</v>
      </c>
      <c r="J35" s="72" t="str">
        <f>EDIFICACIONES!AU35</f>
        <v>Baja</v>
      </c>
      <c r="K35" s="170"/>
    </row>
    <row r="36" spans="1:11" x14ac:dyDescent="0.25">
      <c r="A36" s="19">
        <f>EDIFICACIONES!AL36</f>
        <v>0.1</v>
      </c>
      <c r="B36" s="9">
        <f>EDIFICACIONES!AM36</f>
        <v>0.1</v>
      </c>
      <c r="C36" s="9">
        <f>EDIFICACIONES!AN36</f>
        <v>0</v>
      </c>
      <c r="D36" s="9">
        <f>EDIFICACIONES!AO36</f>
        <v>0.18999999999999995</v>
      </c>
      <c r="E36" s="125">
        <f>EDIFICACIONES!AP36</f>
        <v>1.8750000000000044E-2</v>
      </c>
      <c r="F36" s="129">
        <f>EDIFICACIONES!AQ36</f>
        <v>0.65929327761775325</v>
      </c>
      <c r="G36" s="71" t="str">
        <f>EDIFICACIONES!AR36</f>
        <v>Alta</v>
      </c>
      <c r="H36" s="97">
        <f>EDIFICACIONES!AS36</f>
        <v>5.8771772522576815E-2</v>
      </c>
      <c r="I36" s="95">
        <f>EDIFICACIONES!AT36</f>
        <v>0.65929327761775325</v>
      </c>
      <c r="J36" s="71" t="str">
        <f>EDIFICACIONES!AU36</f>
        <v>Alta</v>
      </c>
      <c r="K36" s="170"/>
    </row>
    <row r="37" spans="1:11" x14ac:dyDescent="0.25">
      <c r="A37" s="19">
        <f>EDIFICACIONES!AL37</f>
        <v>0.1</v>
      </c>
      <c r="B37" s="9">
        <f>EDIFICACIONES!AM37</f>
        <v>0.1</v>
      </c>
      <c r="C37" s="9">
        <f>EDIFICACIONES!AN37</f>
        <v>0</v>
      </c>
      <c r="D37" s="9">
        <f>EDIFICACIONES!AO37</f>
        <v>0.18999999999999995</v>
      </c>
      <c r="E37" s="125">
        <f>EDIFICACIONES!AP37</f>
        <v>0.10687500000000005</v>
      </c>
      <c r="F37" s="129">
        <f>EDIFICACIONES!AQ37</f>
        <v>0.58874087248982743</v>
      </c>
      <c r="G37" s="71" t="str">
        <f>EDIFICACIONES!AR37</f>
        <v>Alta</v>
      </c>
      <c r="H37" s="97">
        <f>EDIFICACIONES!AS37</f>
        <v>0.30350310024786853</v>
      </c>
      <c r="I37" s="95">
        <f>EDIFICACIONES!AT37</f>
        <v>0.19595256054109134</v>
      </c>
      <c r="J37" s="72" t="str">
        <f>EDIFICACIONES!AU37</f>
        <v>Baja</v>
      </c>
      <c r="K37" s="170"/>
    </row>
    <row r="38" spans="1:11" x14ac:dyDescent="0.25">
      <c r="A38" s="19">
        <f>EDIFICACIONES!AL38</f>
        <v>0.1</v>
      </c>
      <c r="B38" s="9">
        <f>EDIFICACIONES!AM38</f>
        <v>0.1</v>
      </c>
      <c r="C38" s="9">
        <f>EDIFICACIONES!AN38</f>
        <v>0</v>
      </c>
      <c r="D38" s="9">
        <f>EDIFICACIONES!AO38</f>
        <v>0.18999999999999995</v>
      </c>
      <c r="E38" s="125">
        <f>EDIFICACIONES!AP38</f>
        <v>4.500000000000004E-2</v>
      </c>
      <c r="F38" s="129">
        <f>EDIFICACIONES!AQ38</f>
        <v>0.64030591266686754</v>
      </c>
      <c r="G38" s="96" t="str">
        <f>EDIFICACIONES!AR38</f>
        <v>Alta</v>
      </c>
      <c r="H38" s="97">
        <f>EDIFICACIONES!AS38</f>
        <v>0.1370000132088991</v>
      </c>
      <c r="I38" s="95">
        <f>EDIFICACIONES!AT38</f>
        <v>0.64030591266686754</v>
      </c>
      <c r="J38" s="96" t="str">
        <f>EDIFICACIONES!AU38</f>
        <v>Alta</v>
      </c>
      <c r="K38" s="171"/>
    </row>
    <row r="39" spans="1:11" ht="15.75" thickBot="1" x14ac:dyDescent="0.3">
      <c r="A39" s="35">
        <f>EDIFICACIONES!AL39</f>
        <v>0.1</v>
      </c>
      <c r="B39" s="22">
        <f>EDIFICACIONES!AM39</f>
        <v>0.1</v>
      </c>
      <c r="C39" s="22">
        <f>EDIFICACIONES!AN39</f>
        <v>0</v>
      </c>
      <c r="D39" s="22">
        <f>EDIFICACIONES!AO39</f>
        <v>0.18999999999999995</v>
      </c>
      <c r="E39" s="128">
        <f>EDIFICACIONES!AP39</f>
        <v>0.10687500000000005</v>
      </c>
      <c r="F39" s="129">
        <f>EDIFICACIONES!AQ39</f>
        <v>0.58874087248982743</v>
      </c>
      <c r="G39" s="71" t="str">
        <f>EDIFICACIONES!AR39</f>
        <v>Alta</v>
      </c>
      <c r="H39" s="97">
        <f>EDIFICACIONES!AS39</f>
        <v>0.30350310024786853</v>
      </c>
      <c r="I39" s="95">
        <f>EDIFICACIONES!AT39</f>
        <v>0.19595256054109134</v>
      </c>
      <c r="J39" s="72" t="str">
        <f>EDIFICACIONES!AU39</f>
        <v>Baja</v>
      </c>
      <c r="K39" s="170"/>
    </row>
  </sheetData>
  <mergeCells count="15">
    <mergeCell ref="L1:M1"/>
    <mergeCell ref="L5:M5"/>
    <mergeCell ref="A1:D1"/>
    <mergeCell ref="E1:E3"/>
    <mergeCell ref="F1:H1"/>
    <mergeCell ref="I1:J1"/>
    <mergeCell ref="A2:A3"/>
    <mergeCell ref="B2:B3"/>
    <mergeCell ref="C2:C3"/>
    <mergeCell ref="D2:D3"/>
    <mergeCell ref="F2:F3"/>
    <mergeCell ref="G2:G3"/>
    <mergeCell ref="H2:H3"/>
    <mergeCell ref="I2:I3"/>
    <mergeCell ref="J2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210F-1B3E-41CC-A7A0-BF84E998145F}">
  <sheetPr>
    <pageSetUpPr fitToPage="1"/>
  </sheetPr>
  <dimension ref="A1:M39"/>
  <sheetViews>
    <sheetView workbookViewId="0">
      <selection activeCell="P10" sqref="P10"/>
    </sheetView>
  </sheetViews>
  <sheetFormatPr baseColWidth="10" defaultRowHeight="15" x14ac:dyDescent="0.25"/>
  <cols>
    <col min="1" max="1" width="5.28515625" customWidth="1"/>
    <col min="2" max="2" width="18.140625" customWidth="1"/>
    <col min="3" max="3" width="15.42578125" customWidth="1"/>
    <col min="4" max="4" width="15" customWidth="1"/>
    <col min="5" max="7" width="11.42578125" style="8"/>
    <col min="8" max="8" width="15.5703125" style="8" customWidth="1"/>
    <col min="9" max="10" width="11.42578125" style="8"/>
    <col min="11" max="11" width="15.5703125" style="8" customWidth="1"/>
    <col min="12" max="12" width="11.42578125" style="8"/>
    <col min="13" max="13" width="14.28515625" style="8" customWidth="1"/>
  </cols>
  <sheetData>
    <row r="1" spans="1:13" ht="15" customHeight="1" x14ac:dyDescent="0.25">
      <c r="A1" s="133" t="s">
        <v>3</v>
      </c>
      <c r="B1" s="134" t="s">
        <v>4</v>
      </c>
      <c r="C1" s="134" t="s">
        <v>5</v>
      </c>
      <c r="D1" s="134"/>
      <c r="E1" s="134" t="s">
        <v>346</v>
      </c>
      <c r="F1" s="134"/>
      <c r="G1" s="134"/>
      <c r="H1" s="134"/>
      <c r="I1" s="134"/>
      <c r="J1" s="134"/>
      <c r="K1" s="134"/>
      <c r="L1" s="134"/>
      <c r="M1" s="134"/>
    </row>
    <row r="2" spans="1:13" ht="15" customHeight="1" x14ac:dyDescent="0.25">
      <c r="A2" s="133"/>
      <c r="B2" s="134"/>
      <c r="C2" s="133" t="s">
        <v>6</v>
      </c>
      <c r="D2" s="133" t="s">
        <v>7</v>
      </c>
      <c r="E2" s="133" t="s">
        <v>337</v>
      </c>
      <c r="F2" s="133" t="s">
        <v>338</v>
      </c>
      <c r="G2" s="134" t="s">
        <v>340</v>
      </c>
      <c r="H2" s="134" t="s">
        <v>332</v>
      </c>
      <c r="I2" s="134" t="s">
        <v>339</v>
      </c>
      <c r="J2" s="134" t="s">
        <v>341</v>
      </c>
      <c r="K2" s="134" t="s">
        <v>332</v>
      </c>
      <c r="L2" s="134" t="s">
        <v>344</v>
      </c>
      <c r="M2" s="134" t="s">
        <v>332</v>
      </c>
    </row>
    <row r="3" spans="1:13" x14ac:dyDescent="0.25">
      <c r="A3" s="133"/>
      <c r="B3" s="134"/>
      <c r="C3" s="133"/>
      <c r="D3" s="133"/>
      <c r="E3" s="133"/>
      <c r="F3" s="133"/>
      <c r="G3" s="134"/>
      <c r="H3" s="134"/>
      <c r="I3" s="134"/>
      <c r="J3" s="134"/>
      <c r="K3" s="134"/>
      <c r="L3" s="134"/>
      <c r="M3" s="134"/>
    </row>
    <row r="4" spans="1:13" x14ac:dyDescent="0.25">
      <c r="A4" s="9">
        <v>1</v>
      </c>
      <c r="B4" s="9" t="s">
        <v>30</v>
      </c>
      <c r="C4" s="9" t="s">
        <v>57</v>
      </c>
      <c r="D4" s="9" t="s">
        <v>58</v>
      </c>
      <c r="E4" s="7">
        <v>4.4999999999999999E-4</v>
      </c>
      <c r="F4" s="7">
        <v>0.58874087248982743</v>
      </c>
      <c r="G4" s="7">
        <v>2.6493339262042236E-4</v>
      </c>
      <c r="H4" s="73" t="s">
        <v>342</v>
      </c>
      <c r="I4" s="7">
        <v>3</v>
      </c>
      <c r="J4" s="7">
        <v>7.9480017786126708E-4</v>
      </c>
      <c r="K4" s="72" t="s">
        <v>343</v>
      </c>
      <c r="L4" s="7">
        <v>1.0597335704816894E-3</v>
      </c>
      <c r="M4" s="100" t="s">
        <v>343</v>
      </c>
    </row>
    <row r="5" spans="1:13" x14ac:dyDescent="0.25">
      <c r="A5" s="9">
        <v>2</v>
      </c>
      <c r="B5" s="9" t="s">
        <v>31</v>
      </c>
      <c r="C5" s="9" t="s">
        <v>59</v>
      </c>
      <c r="D5" s="9" t="s">
        <v>60</v>
      </c>
      <c r="E5" s="7">
        <v>8.8999999999999995E-4</v>
      </c>
      <c r="F5" s="7">
        <v>0.55385936132053804</v>
      </c>
      <c r="G5" s="7">
        <v>4.9293483157527879E-4</v>
      </c>
      <c r="H5" s="73" t="s">
        <v>342</v>
      </c>
      <c r="I5" s="7">
        <v>5</v>
      </c>
      <c r="J5" s="7">
        <v>2.4646741578763938E-3</v>
      </c>
      <c r="K5" s="72" t="s">
        <v>343</v>
      </c>
      <c r="L5" s="7">
        <v>2.9576089894516725E-3</v>
      </c>
      <c r="M5" s="105" t="s">
        <v>342</v>
      </c>
    </row>
    <row r="6" spans="1:13" x14ac:dyDescent="0.25">
      <c r="A6" s="9">
        <v>3</v>
      </c>
      <c r="B6" s="9" t="s">
        <v>32</v>
      </c>
      <c r="C6" s="9" t="s">
        <v>59</v>
      </c>
      <c r="D6" s="9" t="s">
        <v>61</v>
      </c>
      <c r="E6" s="7">
        <v>8.8999999999999995E-4</v>
      </c>
      <c r="F6" s="7">
        <v>0.58874087248982743</v>
      </c>
      <c r="G6" s="7">
        <v>5.239793765159464E-4</v>
      </c>
      <c r="H6" s="102" t="s">
        <v>342</v>
      </c>
      <c r="I6" s="7">
        <v>7</v>
      </c>
      <c r="J6" s="7">
        <v>3.6678556356116248E-3</v>
      </c>
      <c r="K6" s="72" t="s">
        <v>343</v>
      </c>
      <c r="L6" s="7">
        <v>4.1918350121275712E-3</v>
      </c>
      <c r="M6" s="106" t="s">
        <v>342</v>
      </c>
    </row>
    <row r="7" spans="1:13" x14ac:dyDescent="0.25">
      <c r="A7" s="9">
        <v>4</v>
      </c>
      <c r="B7" s="9" t="s">
        <v>33</v>
      </c>
      <c r="C7" s="9" t="s">
        <v>62</v>
      </c>
      <c r="D7" s="9" t="s">
        <v>63</v>
      </c>
      <c r="E7" s="7">
        <v>8.8999999999999995E-4</v>
      </c>
      <c r="F7" s="7">
        <v>0.58874087248982743</v>
      </c>
      <c r="G7" s="7">
        <v>5.239793765159464E-4</v>
      </c>
      <c r="H7" s="73" t="s">
        <v>342</v>
      </c>
      <c r="I7" s="7">
        <v>2</v>
      </c>
      <c r="J7" s="7">
        <v>1.0479587530318928E-3</v>
      </c>
      <c r="K7" s="72" t="s">
        <v>343</v>
      </c>
      <c r="L7" s="7">
        <v>1.5719381295478392E-3</v>
      </c>
      <c r="M7" s="100" t="s">
        <v>343</v>
      </c>
    </row>
    <row r="8" spans="1:13" x14ac:dyDescent="0.25">
      <c r="A8" s="9">
        <v>5</v>
      </c>
      <c r="B8" s="9" t="s">
        <v>34</v>
      </c>
      <c r="C8" s="9" t="s">
        <v>64</v>
      </c>
      <c r="D8" s="9" t="s">
        <v>65</v>
      </c>
      <c r="E8" s="7">
        <v>8.8999999999999995E-4</v>
      </c>
      <c r="F8" s="7">
        <v>0.58874087248982743</v>
      </c>
      <c r="G8" s="7">
        <v>5.239793765159464E-4</v>
      </c>
      <c r="H8" s="73" t="s">
        <v>342</v>
      </c>
      <c r="I8" s="7">
        <v>3</v>
      </c>
      <c r="J8" s="7">
        <v>1.5719381295478392E-3</v>
      </c>
      <c r="K8" s="72" t="s">
        <v>343</v>
      </c>
      <c r="L8" s="7">
        <v>2.0959175060637856E-3</v>
      </c>
      <c r="M8" s="100" t="s">
        <v>343</v>
      </c>
    </row>
    <row r="9" spans="1:13" x14ac:dyDescent="0.25">
      <c r="A9" s="9">
        <v>6</v>
      </c>
      <c r="B9" s="9" t="s">
        <v>35</v>
      </c>
      <c r="C9" s="9" t="s">
        <v>66</v>
      </c>
      <c r="D9" s="9" t="s">
        <v>67</v>
      </c>
      <c r="E9" s="7">
        <v>8.8999999999999995E-4</v>
      </c>
      <c r="F9" s="7">
        <v>0.6196859336761773</v>
      </c>
      <c r="G9" s="7">
        <v>5.5152048097179777E-4</v>
      </c>
      <c r="H9" s="73" t="s">
        <v>342</v>
      </c>
      <c r="I9" s="7">
        <v>3</v>
      </c>
      <c r="J9" s="7">
        <v>1.6545614429153933E-3</v>
      </c>
      <c r="K9" s="72" t="s">
        <v>343</v>
      </c>
      <c r="L9" s="7">
        <v>2.2060819238871911E-3</v>
      </c>
      <c r="M9" s="100" t="s">
        <v>343</v>
      </c>
    </row>
    <row r="10" spans="1:13" x14ac:dyDescent="0.25">
      <c r="A10" s="9">
        <v>7</v>
      </c>
      <c r="B10" s="9" t="s">
        <v>274</v>
      </c>
      <c r="C10" s="9" t="s">
        <v>68</v>
      </c>
      <c r="D10" s="9" t="s">
        <v>69</v>
      </c>
      <c r="E10" s="7">
        <v>8.8999999999999995E-4</v>
      </c>
      <c r="F10" s="7">
        <v>0.6513444574343713</v>
      </c>
      <c r="G10" s="7">
        <v>5.7969656711659044E-4</v>
      </c>
      <c r="H10" s="73" t="s">
        <v>342</v>
      </c>
      <c r="I10" s="7">
        <v>3</v>
      </c>
      <c r="J10" s="7">
        <v>1.7390897013497713E-3</v>
      </c>
      <c r="K10" s="72" t="s">
        <v>343</v>
      </c>
      <c r="L10" s="7">
        <v>2.3187862684663618E-3</v>
      </c>
      <c r="M10" s="100" t="s">
        <v>343</v>
      </c>
    </row>
    <row r="11" spans="1:13" x14ac:dyDescent="0.25">
      <c r="A11" s="9">
        <v>8</v>
      </c>
      <c r="B11" s="9" t="s">
        <v>273</v>
      </c>
      <c r="C11" s="9" t="s">
        <v>275</v>
      </c>
      <c r="D11" s="9" t="s">
        <v>276</v>
      </c>
      <c r="E11" s="7">
        <v>8.8999999999999995E-4</v>
      </c>
      <c r="F11" s="7">
        <v>0.58874087248982743</v>
      </c>
      <c r="G11" s="7">
        <v>5.239793765159464E-4</v>
      </c>
      <c r="H11" s="73" t="s">
        <v>342</v>
      </c>
      <c r="I11" s="7">
        <v>3</v>
      </c>
      <c r="J11" s="7">
        <v>1.5719381295478392E-3</v>
      </c>
      <c r="K11" s="72" t="s">
        <v>343</v>
      </c>
      <c r="L11" s="7">
        <v>2.0959175060637856E-3</v>
      </c>
      <c r="M11" s="100" t="s">
        <v>343</v>
      </c>
    </row>
    <row r="12" spans="1:13" x14ac:dyDescent="0.25">
      <c r="A12" s="9">
        <v>9</v>
      </c>
      <c r="B12" s="9" t="s">
        <v>36</v>
      </c>
      <c r="C12" s="9" t="s">
        <v>70</v>
      </c>
      <c r="D12" s="9" t="s">
        <v>71</v>
      </c>
      <c r="E12" s="7">
        <v>4.4999999999999999E-4</v>
      </c>
      <c r="F12" s="7">
        <v>0.46985630987088711</v>
      </c>
      <c r="G12" s="7">
        <v>2.114353394418992E-4</v>
      </c>
      <c r="H12" s="72" t="s">
        <v>343</v>
      </c>
      <c r="I12" s="7">
        <v>8</v>
      </c>
      <c r="J12" s="7">
        <v>1.6914827155351936E-3</v>
      </c>
      <c r="K12" s="72" t="s">
        <v>343</v>
      </c>
      <c r="L12" s="7">
        <v>1.9029180549770927E-3</v>
      </c>
      <c r="M12" s="100" t="s">
        <v>343</v>
      </c>
    </row>
    <row r="13" spans="1:13" x14ac:dyDescent="0.25">
      <c r="A13" s="9">
        <v>10</v>
      </c>
      <c r="B13" s="9" t="s">
        <v>37</v>
      </c>
      <c r="C13" s="9" t="s">
        <v>72</v>
      </c>
      <c r="D13" s="9" t="s">
        <v>73</v>
      </c>
      <c r="E13" s="7">
        <v>1.6999999999999999E-3</v>
      </c>
      <c r="F13" s="7">
        <v>0.6196859336761773</v>
      </c>
      <c r="G13" s="7">
        <v>1.0534660872495013E-3</v>
      </c>
      <c r="H13" s="71" t="s">
        <v>143</v>
      </c>
      <c r="I13" s="7">
        <v>8</v>
      </c>
      <c r="J13" s="7">
        <v>8.4277286979960106E-3</v>
      </c>
      <c r="K13" s="72" t="s">
        <v>343</v>
      </c>
      <c r="L13" s="7">
        <v>9.4811947852455128E-3</v>
      </c>
      <c r="M13" s="105" t="s">
        <v>342</v>
      </c>
    </row>
    <row r="14" spans="1:13" x14ac:dyDescent="0.25">
      <c r="A14" s="9">
        <v>11</v>
      </c>
      <c r="B14" s="9" t="s">
        <v>38</v>
      </c>
      <c r="C14" s="9" t="s">
        <v>74</v>
      </c>
      <c r="D14" s="9" t="s">
        <v>75</v>
      </c>
      <c r="E14" s="7">
        <v>4.4999999999999999E-4</v>
      </c>
      <c r="F14" s="7">
        <v>0.54635192310488767</v>
      </c>
      <c r="G14" s="7">
        <v>2.4585836539719943E-4</v>
      </c>
      <c r="H14" s="72" t="s">
        <v>343</v>
      </c>
      <c r="I14" s="7">
        <v>2</v>
      </c>
      <c r="J14" s="7">
        <v>4.9171673079439885E-4</v>
      </c>
      <c r="K14" s="72" t="s">
        <v>343</v>
      </c>
      <c r="L14" s="7">
        <v>7.3757509619159828E-4</v>
      </c>
      <c r="M14" s="101" t="s">
        <v>345</v>
      </c>
    </row>
    <row r="15" spans="1:13" x14ac:dyDescent="0.25">
      <c r="A15" s="9">
        <v>12</v>
      </c>
      <c r="B15" s="9" t="s">
        <v>182</v>
      </c>
      <c r="C15" s="9" t="s">
        <v>76</v>
      </c>
      <c r="D15" s="9" t="s">
        <v>77</v>
      </c>
      <c r="E15" s="7">
        <v>4.4999999999999999E-4</v>
      </c>
      <c r="F15" s="7">
        <v>0.54635192310488767</v>
      </c>
      <c r="G15" s="7">
        <v>2.4585836539719943E-4</v>
      </c>
      <c r="H15" s="72" t="s">
        <v>343</v>
      </c>
      <c r="I15" s="7">
        <v>3</v>
      </c>
      <c r="J15" s="7">
        <v>7.3757509619159828E-4</v>
      </c>
      <c r="K15" s="72" t="s">
        <v>343</v>
      </c>
      <c r="L15" s="7">
        <v>9.834334615887977E-4</v>
      </c>
      <c r="M15" s="100" t="s">
        <v>343</v>
      </c>
    </row>
    <row r="16" spans="1:13" x14ac:dyDescent="0.25">
      <c r="A16" s="9">
        <v>13</v>
      </c>
      <c r="B16" s="9" t="s">
        <v>39</v>
      </c>
      <c r="C16" s="9" t="s">
        <v>78</v>
      </c>
      <c r="D16" s="9" t="s">
        <v>79</v>
      </c>
      <c r="E16" s="7">
        <v>4.4999999999999999E-4</v>
      </c>
      <c r="F16" s="7">
        <v>0.16326530612244891</v>
      </c>
      <c r="G16" s="7">
        <v>7.3469387755102005E-5</v>
      </c>
      <c r="H16" s="72" t="s">
        <v>343</v>
      </c>
      <c r="I16" s="7">
        <v>3</v>
      </c>
      <c r="J16" s="7">
        <v>2.2040816326530601E-4</v>
      </c>
      <c r="K16" s="72" t="s">
        <v>343</v>
      </c>
      <c r="L16" s="7">
        <v>2.9387755102040802E-4</v>
      </c>
      <c r="M16" s="101" t="s">
        <v>345</v>
      </c>
    </row>
    <row r="17" spans="1:13" x14ac:dyDescent="0.25">
      <c r="A17" s="9">
        <v>14</v>
      </c>
      <c r="B17" s="9" t="s">
        <v>40</v>
      </c>
      <c r="C17" s="9" t="s">
        <v>80</v>
      </c>
      <c r="D17" s="9" t="s">
        <v>81</v>
      </c>
      <c r="E17" s="7">
        <v>4.4999999999999999E-4</v>
      </c>
      <c r="F17" s="7">
        <v>0.16326530612244891</v>
      </c>
      <c r="G17" s="7">
        <v>7.3469387755102005E-5</v>
      </c>
      <c r="H17" s="72" t="s">
        <v>343</v>
      </c>
      <c r="I17" s="7">
        <v>3</v>
      </c>
      <c r="J17" s="7">
        <v>2.2040816326530601E-4</v>
      </c>
      <c r="K17" s="72" t="s">
        <v>343</v>
      </c>
      <c r="L17" s="7">
        <v>2.9387755102040802E-4</v>
      </c>
      <c r="M17" s="101" t="s">
        <v>345</v>
      </c>
    </row>
    <row r="18" spans="1:13" x14ac:dyDescent="0.25">
      <c r="A18" s="9">
        <v>15</v>
      </c>
      <c r="B18" s="9" t="s">
        <v>41</v>
      </c>
      <c r="C18" s="9" t="s">
        <v>82</v>
      </c>
      <c r="D18" s="9" t="s">
        <v>83</v>
      </c>
      <c r="E18" s="7">
        <v>4.4999999999999999E-4</v>
      </c>
      <c r="F18" s="7">
        <v>0.16326530612244891</v>
      </c>
      <c r="G18" s="7">
        <v>7.3469387755102005E-5</v>
      </c>
      <c r="H18" s="72" t="s">
        <v>343</v>
      </c>
      <c r="I18" s="7">
        <v>2</v>
      </c>
      <c r="J18" s="7">
        <v>1.4693877551020401E-4</v>
      </c>
      <c r="K18" s="72" t="s">
        <v>343</v>
      </c>
      <c r="L18" s="7">
        <v>2.2040816326530601E-4</v>
      </c>
      <c r="M18" s="101" t="s">
        <v>345</v>
      </c>
    </row>
    <row r="19" spans="1:13" x14ac:dyDescent="0.25">
      <c r="A19" s="9">
        <v>16</v>
      </c>
      <c r="B19" s="9" t="s">
        <v>42</v>
      </c>
      <c r="C19" s="9" t="s">
        <v>84</v>
      </c>
      <c r="D19" s="9" t="s">
        <v>85</v>
      </c>
      <c r="E19" s="7">
        <v>4.4999999999999999E-4</v>
      </c>
      <c r="F19" s="7">
        <v>0.59499999999999997</v>
      </c>
      <c r="G19" s="7">
        <v>2.6774999999999998E-4</v>
      </c>
      <c r="H19" s="72" t="s">
        <v>343</v>
      </c>
      <c r="I19" s="7">
        <v>0</v>
      </c>
      <c r="J19" s="7">
        <v>0</v>
      </c>
      <c r="K19" s="72" t="s">
        <v>343</v>
      </c>
      <c r="L19" s="7">
        <v>2.6774999999999998E-4</v>
      </c>
      <c r="M19" s="101" t="s">
        <v>345</v>
      </c>
    </row>
    <row r="20" spans="1:13" x14ac:dyDescent="0.25">
      <c r="A20" s="9">
        <v>17</v>
      </c>
      <c r="B20" s="9" t="s">
        <v>43</v>
      </c>
      <c r="C20" s="9" t="s">
        <v>86</v>
      </c>
      <c r="D20" s="9" t="s">
        <v>87</v>
      </c>
      <c r="E20" s="7">
        <v>4.4999999999999999E-4</v>
      </c>
      <c r="F20" s="7">
        <v>0.31999999999999967</v>
      </c>
      <c r="G20" s="7">
        <v>1.4399999999999984E-4</v>
      </c>
      <c r="H20" s="72" t="s">
        <v>343</v>
      </c>
      <c r="I20" s="7">
        <v>3</v>
      </c>
      <c r="J20" s="7">
        <v>4.3199999999999955E-4</v>
      </c>
      <c r="K20" s="72" t="s">
        <v>343</v>
      </c>
      <c r="L20" s="7">
        <v>5.7599999999999936E-4</v>
      </c>
      <c r="M20" s="101" t="s">
        <v>345</v>
      </c>
    </row>
    <row r="21" spans="1:13" x14ac:dyDescent="0.25">
      <c r="A21" s="9">
        <v>18</v>
      </c>
      <c r="B21" s="9" t="s">
        <v>44</v>
      </c>
      <c r="C21" s="9" t="s">
        <v>88</v>
      </c>
      <c r="D21" s="9" t="s">
        <v>89</v>
      </c>
      <c r="E21" s="7">
        <v>4.4999999999999999E-4</v>
      </c>
      <c r="F21" s="7">
        <v>0.31999999999999967</v>
      </c>
      <c r="G21" s="7">
        <v>1.4399999999999984E-4</v>
      </c>
      <c r="H21" s="72" t="s">
        <v>343</v>
      </c>
      <c r="I21" s="7">
        <v>1</v>
      </c>
      <c r="J21" s="7">
        <v>1.4399999999999984E-4</v>
      </c>
      <c r="K21" s="72" t="s">
        <v>343</v>
      </c>
      <c r="L21" s="7">
        <v>2.8799999999999968E-4</v>
      </c>
      <c r="M21" s="101" t="s">
        <v>345</v>
      </c>
    </row>
    <row r="22" spans="1:13" x14ac:dyDescent="0.25">
      <c r="A22" s="9">
        <v>19</v>
      </c>
      <c r="B22" s="9" t="s">
        <v>45</v>
      </c>
      <c r="C22" s="9" t="s">
        <v>90</v>
      </c>
      <c r="D22" s="9" t="s">
        <v>81</v>
      </c>
      <c r="E22" s="7">
        <v>4.4999999999999999E-4</v>
      </c>
      <c r="F22" s="7">
        <v>0.31999999999999967</v>
      </c>
      <c r="G22" s="7">
        <v>1.4399999999999984E-4</v>
      </c>
      <c r="H22" s="72" t="s">
        <v>343</v>
      </c>
      <c r="I22" s="7">
        <v>4</v>
      </c>
      <c r="J22" s="7">
        <v>5.7599999999999936E-4</v>
      </c>
      <c r="K22" s="72" t="s">
        <v>343</v>
      </c>
      <c r="L22" s="7">
        <v>7.1999999999999918E-4</v>
      </c>
      <c r="M22" s="101" t="s">
        <v>345</v>
      </c>
    </row>
    <row r="23" spans="1:13" x14ac:dyDescent="0.25">
      <c r="A23" s="9">
        <v>20</v>
      </c>
      <c r="B23" s="9" t="s">
        <v>46</v>
      </c>
      <c r="C23" s="9" t="s">
        <v>91</v>
      </c>
      <c r="D23" s="9" t="s">
        <v>92</v>
      </c>
      <c r="E23" s="7">
        <v>4.4999999999999999E-4</v>
      </c>
      <c r="F23" s="7">
        <v>0.62873472159348109</v>
      </c>
      <c r="G23" s="7">
        <v>2.8293062471706647E-4</v>
      </c>
      <c r="H23" s="73" t="s">
        <v>342</v>
      </c>
      <c r="I23" s="7">
        <v>3</v>
      </c>
      <c r="J23" s="7">
        <v>8.4879187415119934E-4</v>
      </c>
      <c r="K23" s="72" t="s">
        <v>343</v>
      </c>
      <c r="L23" s="7">
        <v>1.1317224988682659E-3</v>
      </c>
      <c r="M23" s="100" t="s">
        <v>343</v>
      </c>
    </row>
    <row r="24" spans="1:13" x14ac:dyDescent="0.25">
      <c r="A24" s="9">
        <v>21</v>
      </c>
      <c r="B24" s="9" t="s">
        <v>47</v>
      </c>
      <c r="C24" s="9" t="s">
        <v>93</v>
      </c>
      <c r="D24" s="9" t="s">
        <v>94</v>
      </c>
      <c r="E24" s="7">
        <v>4.4999999999999999E-4</v>
      </c>
      <c r="F24" s="7">
        <v>0.61659605551497432</v>
      </c>
      <c r="G24" s="7">
        <v>2.7746822498173843E-4</v>
      </c>
      <c r="H24" s="73" t="s">
        <v>342</v>
      </c>
      <c r="I24" s="7">
        <v>8</v>
      </c>
      <c r="J24" s="7">
        <v>2.2197457998539075E-3</v>
      </c>
      <c r="K24" s="72" t="s">
        <v>343</v>
      </c>
      <c r="L24" s="7">
        <v>2.4972140248356459E-3</v>
      </c>
      <c r="M24" s="100" t="s">
        <v>343</v>
      </c>
    </row>
    <row r="25" spans="1:13" x14ac:dyDescent="0.25">
      <c r="A25" s="9">
        <v>22</v>
      </c>
      <c r="B25" s="9" t="s">
        <v>48</v>
      </c>
      <c r="C25" s="9" t="s">
        <v>97</v>
      </c>
      <c r="D25" s="9" t="s">
        <v>98</v>
      </c>
      <c r="E25" s="7">
        <v>4.4999999999999999E-4</v>
      </c>
      <c r="F25" s="7">
        <v>0.59046222028026585</v>
      </c>
      <c r="G25" s="7">
        <v>2.6570799912611963E-4</v>
      </c>
      <c r="H25" s="73" t="s">
        <v>342</v>
      </c>
      <c r="I25" s="7">
        <v>2</v>
      </c>
      <c r="J25" s="7">
        <v>5.3141599825223926E-4</v>
      </c>
      <c r="K25" s="72" t="s">
        <v>343</v>
      </c>
      <c r="L25" s="7">
        <v>7.9712399737835889E-4</v>
      </c>
      <c r="M25" s="101" t="s">
        <v>345</v>
      </c>
    </row>
    <row r="26" spans="1:13" x14ac:dyDescent="0.25">
      <c r="A26" s="9">
        <v>23</v>
      </c>
      <c r="B26" s="9" t="s">
        <v>50</v>
      </c>
      <c r="C26" s="9" t="s">
        <v>99</v>
      </c>
      <c r="D26" s="9" t="s">
        <v>100</v>
      </c>
      <c r="E26" s="7">
        <v>4.4999999999999999E-4</v>
      </c>
      <c r="F26" s="7">
        <v>0.64030591266686754</v>
      </c>
      <c r="G26" s="7">
        <v>2.8813766070009039E-4</v>
      </c>
      <c r="H26" s="73" t="s">
        <v>342</v>
      </c>
      <c r="I26" s="7">
        <v>2</v>
      </c>
      <c r="J26" s="7">
        <v>5.7627532140018078E-4</v>
      </c>
      <c r="K26" s="72" t="s">
        <v>343</v>
      </c>
      <c r="L26" s="7">
        <v>8.6441298210027117E-4</v>
      </c>
      <c r="M26" s="101" t="s">
        <v>345</v>
      </c>
    </row>
    <row r="27" spans="1:13" x14ac:dyDescent="0.25">
      <c r="A27" s="9">
        <v>24</v>
      </c>
      <c r="B27" s="9" t="s">
        <v>49</v>
      </c>
      <c r="C27" s="9" t="s">
        <v>101</v>
      </c>
      <c r="D27" s="9" t="s">
        <v>102</v>
      </c>
      <c r="E27" s="7">
        <v>4.4999999999999999E-4</v>
      </c>
      <c r="F27" s="7">
        <v>0.31999999999999967</v>
      </c>
      <c r="G27" s="7">
        <v>1.4399999999999984E-4</v>
      </c>
      <c r="H27" s="72" t="s">
        <v>343</v>
      </c>
      <c r="I27" s="7">
        <v>4</v>
      </c>
      <c r="J27" s="7">
        <v>5.7599999999999936E-4</v>
      </c>
      <c r="K27" s="72" t="s">
        <v>343</v>
      </c>
      <c r="L27" s="7">
        <v>7.1999999999999918E-4</v>
      </c>
      <c r="M27" s="101" t="s">
        <v>345</v>
      </c>
    </row>
    <row r="28" spans="1:13" x14ac:dyDescent="0.25">
      <c r="A28" s="9">
        <v>25</v>
      </c>
      <c r="B28" s="9" t="s">
        <v>51</v>
      </c>
      <c r="C28" s="9" t="s">
        <v>103</v>
      </c>
      <c r="D28" s="9" t="s">
        <v>104</v>
      </c>
      <c r="E28" s="7">
        <v>4.4999999999999999E-4</v>
      </c>
      <c r="F28" s="7">
        <v>0.31999999999999967</v>
      </c>
      <c r="G28" s="7">
        <v>1.4399999999999984E-4</v>
      </c>
      <c r="H28" s="72" t="s">
        <v>343</v>
      </c>
      <c r="I28" s="7">
        <v>0</v>
      </c>
      <c r="J28" s="7">
        <v>0</v>
      </c>
      <c r="K28" s="72" t="s">
        <v>343</v>
      </c>
      <c r="L28" s="7">
        <v>1.4399999999999984E-4</v>
      </c>
      <c r="M28" s="101" t="s">
        <v>345</v>
      </c>
    </row>
    <row r="29" spans="1:13" x14ac:dyDescent="0.25">
      <c r="A29" s="9">
        <v>26</v>
      </c>
      <c r="B29" s="9" t="s">
        <v>52</v>
      </c>
      <c r="C29" s="9" t="s">
        <v>105</v>
      </c>
      <c r="D29" s="9" t="s">
        <v>106</v>
      </c>
      <c r="E29" s="7">
        <v>4.4999999999999999E-4</v>
      </c>
      <c r="F29" s="7">
        <v>0.59499999999999997</v>
      </c>
      <c r="G29" s="7">
        <v>2.6774999999999998E-4</v>
      </c>
      <c r="H29" s="73" t="s">
        <v>342</v>
      </c>
      <c r="I29" s="7">
        <v>6</v>
      </c>
      <c r="J29" s="7">
        <v>1.6064999999999999E-3</v>
      </c>
      <c r="K29" s="72" t="s">
        <v>343</v>
      </c>
      <c r="L29" s="7">
        <v>1.8742499999999998E-3</v>
      </c>
      <c r="M29" s="100" t="s">
        <v>343</v>
      </c>
    </row>
    <row r="30" spans="1:13" x14ac:dyDescent="0.25">
      <c r="A30" s="9">
        <v>27</v>
      </c>
      <c r="B30" s="9" t="s">
        <v>53</v>
      </c>
      <c r="C30" s="9" t="s">
        <v>107</v>
      </c>
      <c r="D30" s="9" t="s">
        <v>108</v>
      </c>
      <c r="E30" s="7">
        <v>4.4999999999999999E-4</v>
      </c>
      <c r="F30" s="7">
        <v>0.51434428718067338</v>
      </c>
      <c r="G30" s="7">
        <v>2.3145492923130301E-4</v>
      </c>
      <c r="H30" s="72" t="s">
        <v>343</v>
      </c>
      <c r="I30" s="7">
        <v>4</v>
      </c>
      <c r="J30" s="7">
        <v>9.2581971692521205E-4</v>
      </c>
      <c r="K30" s="72" t="s">
        <v>343</v>
      </c>
      <c r="L30" s="7">
        <v>1.157274646156515E-3</v>
      </c>
      <c r="M30" s="100" t="s">
        <v>343</v>
      </c>
    </row>
    <row r="31" spans="1:13" x14ac:dyDescent="0.25">
      <c r="A31" s="9">
        <v>28</v>
      </c>
      <c r="B31" s="9" t="s">
        <v>54</v>
      </c>
      <c r="C31" s="9" t="s">
        <v>109</v>
      </c>
      <c r="D31" s="9" t="s">
        <v>110</v>
      </c>
      <c r="E31" s="7">
        <v>4.4999999999999999E-4</v>
      </c>
      <c r="F31" s="7">
        <v>0.1755829903978052</v>
      </c>
      <c r="G31" s="7">
        <v>7.9012345679012333E-5</v>
      </c>
      <c r="H31" s="72" t="s">
        <v>343</v>
      </c>
      <c r="I31" s="7">
        <v>3</v>
      </c>
      <c r="J31" s="7">
        <v>2.3703703703703701E-4</v>
      </c>
      <c r="K31" s="72" t="s">
        <v>343</v>
      </c>
      <c r="L31" s="7">
        <v>3.1604938271604933E-4</v>
      </c>
      <c r="M31" s="101" t="s">
        <v>345</v>
      </c>
    </row>
    <row r="32" spans="1:13" x14ac:dyDescent="0.25">
      <c r="A32" s="9">
        <v>29</v>
      </c>
      <c r="B32" s="9" t="s">
        <v>55</v>
      </c>
      <c r="C32" s="9" t="s">
        <v>111</v>
      </c>
      <c r="D32" s="9" t="s">
        <v>112</v>
      </c>
      <c r="E32" s="7">
        <v>4.4999999999999999E-4</v>
      </c>
      <c r="F32" s="7">
        <v>0.59046222028026585</v>
      </c>
      <c r="G32" s="7">
        <v>2.6570799912611963E-4</v>
      </c>
      <c r="H32" s="73" t="s">
        <v>342</v>
      </c>
      <c r="I32" s="7">
        <v>3</v>
      </c>
      <c r="J32" s="7">
        <v>7.9712399737835889E-4</v>
      </c>
      <c r="K32" s="72" t="s">
        <v>343</v>
      </c>
      <c r="L32" s="7">
        <v>1.0628319965044785E-3</v>
      </c>
      <c r="M32" s="100" t="s">
        <v>343</v>
      </c>
    </row>
    <row r="33" spans="1:13" x14ac:dyDescent="0.25">
      <c r="A33" s="9">
        <v>30</v>
      </c>
      <c r="B33" s="9" t="s">
        <v>56</v>
      </c>
      <c r="C33" s="9" t="s">
        <v>113</v>
      </c>
      <c r="D33" s="9" t="s">
        <v>114</v>
      </c>
      <c r="E33" s="7">
        <v>4.4999999999999999E-4</v>
      </c>
      <c r="F33" s="7">
        <v>0.59046222028026585</v>
      </c>
      <c r="G33" s="7">
        <v>2.6570799912611963E-4</v>
      </c>
      <c r="H33" s="73" t="s">
        <v>342</v>
      </c>
      <c r="I33" s="7">
        <v>3</v>
      </c>
      <c r="J33" s="7">
        <v>7.9712399737835889E-4</v>
      </c>
      <c r="K33" s="72" t="s">
        <v>343</v>
      </c>
      <c r="L33" s="7">
        <v>1.0628319965044785E-3</v>
      </c>
      <c r="M33" s="100" t="s">
        <v>343</v>
      </c>
    </row>
    <row r="34" spans="1:13" x14ac:dyDescent="0.25">
      <c r="A34" s="9">
        <v>31</v>
      </c>
      <c r="B34" s="7" t="s">
        <v>186</v>
      </c>
      <c r="C34" s="9" t="s">
        <v>191</v>
      </c>
      <c r="D34" s="9" t="s">
        <v>192</v>
      </c>
      <c r="E34" s="7">
        <v>4.4999999999999999E-4</v>
      </c>
      <c r="F34" s="7">
        <v>0.5491397165235723</v>
      </c>
      <c r="G34" s="7">
        <v>2.4711287243560755E-4</v>
      </c>
      <c r="H34" s="72" t="s">
        <v>343</v>
      </c>
      <c r="I34" s="7">
        <v>4</v>
      </c>
      <c r="J34" s="7">
        <v>9.884514897424302E-4</v>
      </c>
      <c r="K34" s="72" t="s">
        <v>343</v>
      </c>
      <c r="L34" s="7">
        <v>1.2355643621780378E-3</v>
      </c>
      <c r="M34" s="100" t="s">
        <v>343</v>
      </c>
    </row>
    <row r="35" spans="1:13" x14ac:dyDescent="0.25">
      <c r="A35" s="9">
        <v>32</v>
      </c>
      <c r="B35" s="7" t="s">
        <v>187</v>
      </c>
      <c r="C35" s="9" t="s">
        <v>197</v>
      </c>
      <c r="D35" s="9" t="s">
        <v>198</v>
      </c>
      <c r="E35" s="7">
        <v>4.4999999999999999E-4</v>
      </c>
      <c r="F35" s="7">
        <v>0.58874087248982743</v>
      </c>
      <c r="G35" s="7">
        <v>2.6493339262042236E-4</v>
      </c>
      <c r="H35" s="73" t="s">
        <v>342</v>
      </c>
      <c r="I35" s="7">
        <v>4</v>
      </c>
      <c r="J35" s="7">
        <v>1.0597335704816894E-3</v>
      </c>
      <c r="K35" s="72" t="s">
        <v>343</v>
      </c>
      <c r="L35" s="7">
        <v>1.3246669631021119E-3</v>
      </c>
      <c r="M35" s="100" t="s">
        <v>343</v>
      </c>
    </row>
    <row r="36" spans="1:13" x14ac:dyDescent="0.25">
      <c r="A36" s="9">
        <v>33</v>
      </c>
      <c r="B36" s="7" t="s">
        <v>188</v>
      </c>
      <c r="C36" s="9" t="s">
        <v>199</v>
      </c>
      <c r="D36" s="9" t="s">
        <v>75</v>
      </c>
      <c r="E36" s="7">
        <v>4.4999999999999999E-4</v>
      </c>
      <c r="F36" s="7">
        <v>0.65929327761775325</v>
      </c>
      <c r="G36" s="7">
        <v>2.9668197492798895E-4</v>
      </c>
      <c r="H36" s="73" t="s">
        <v>342</v>
      </c>
      <c r="I36" s="7">
        <v>0</v>
      </c>
      <c r="J36" s="7">
        <v>0</v>
      </c>
      <c r="K36" s="72" t="s">
        <v>343</v>
      </c>
      <c r="L36" s="7">
        <v>2.9668197492798895E-4</v>
      </c>
      <c r="M36" s="100" t="s">
        <v>343</v>
      </c>
    </row>
    <row r="37" spans="1:13" x14ac:dyDescent="0.25">
      <c r="A37" s="9">
        <v>34</v>
      </c>
      <c r="B37" s="9" t="s">
        <v>189</v>
      </c>
      <c r="C37" s="9" t="s">
        <v>205</v>
      </c>
      <c r="D37" s="9" t="s">
        <v>206</v>
      </c>
      <c r="E37" s="7">
        <v>4.4999999999999999E-4</v>
      </c>
      <c r="F37" s="7">
        <v>0.58874087248982743</v>
      </c>
      <c r="G37" s="7">
        <v>2.6493339262042236E-4</v>
      </c>
      <c r="H37" s="73" t="s">
        <v>342</v>
      </c>
      <c r="I37" s="7">
        <v>4</v>
      </c>
      <c r="J37" s="7">
        <v>1.0597335704816894E-3</v>
      </c>
      <c r="K37" s="72" t="s">
        <v>343</v>
      </c>
      <c r="L37" s="7">
        <v>1.3246669631021119E-3</v>
      </c>
      <c r="M37" s="100" t="s">
        <v>343</v>
      </c>
    </row>
    <row r="38" spans="1:13" x14ac:dyDescent="0.25">
      <c r="A38" s="9">
        <v>35</v>
      </c>
      <c r="B38" s="9" t="s">
        <v>288</v>
      </c>
      <c r="C38" s="9" t="s">
        <v>201</v>
      </c>
      <c r="D38" s="9" t="s">
        <v>202</v>
      </c>
      <c r="E38" s="7">
        <v>4.4999999999999999E-4</v>
      </c>
      <c r="F38" s="7">
        <v>0.64030591266686754</v>
      </c>
      <c r="G38" s="7">
        <v>2.8813766070009039E-4</v>
      </c>
      <c r="H38" s="103" t="s">
        <v>342</v>
      </c>
      <c r="I38" s="7">
        <v>0</v>
      </c>
      <c r="J38" s="7">
        <v>0</v>
      </c>
      <c r="K38" s="72" t="s">
        <v>343</v>
      </c>
      <c r="L38" s="7">
        <v>2.8813766070009039E-4</v>
      </c>
      <c r="M38" s="107" t="s">
        <v>345</v>
      </c>
    </row>
    <row r="39" spans="1:13" x14ac:dyDescent="0.25">
      <c r="A39" s="9">
        <v>36</v>
      </c>
      <c r="B39" s="9" t="s">
        <v>190</v>
      </c>
      <c r="C39" s="9" t="s">
        <v>95</v>
      </c>
      <c r="D39" s="9" t="s">
        <v>96</v>
      </c>
      <c r="E39" s="7">
        <v>4.4999999999999999E-4</v>
      </c>
      <c r="F39" s="7">
        <v>0.58874087248982743</v>
      </c>
      <c r="G39" s="7">
        <v>2.6493339262042236E-4</v>
      </c>
      <c r="H39" s="73" t="s">
        <v>342</v>
      </c>
      <c r="I39" s="7">
        <v>0</v>
      </c>
      <c r="J39" s="7">
        <v>0</v>
      </c>
      <c r="K39" s="72" t="s">
        <v>343</v>
      </c>
      <c r="L39" s="7">
        <v>2.6493339262042236E-4</v>
      </c>
      <c r="M39" s="101" t="s">
        <v>345</v>
      </c>
    </row>
  </sheetData>
  <mergeCells count="15">
    <mergeCell ref="E2:E3"/>
    <mergeCell ref="F2:F3"/>
    <mergeCell ref="E1:M1"/>
    <mergeCell ref="A1:A3"/>
    <mergeCell ref="B1:B3"/>
    <mergeCell ref="C1:D1"/>
    <mergeCell ref="C2:C3"/>
    <mergeCell ref="D2:D3"/>
    <mergeCell ref="M2:M3"/>
    <mergeCell ref="G2:G3"/>
    <mergeCell ref="H2:H3"/>
    <mergeCell ref="I2:I3"/>
    <mergeCell ref="J2:J3"/>
    <mergeCell ref="K2:K3"/>
    <mergeCell ref="L2:L3"/>
  </mergeCells>
  <pageMargins left="0.25" right="0.25" top="0.75" bottom="0.75" header="0.3" footer="0.3"/>
  <pageSetup paperSize="9" scale="81" fitToWidth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2123-7DBA-4BA1-9638-5F097CA14D6A}">
  <sheetPr>
    <pageSetUpPr fitToPage="1"/>
  </sheetPr>
  <dimension ref="A1:P40"/>
  <sheetViews>
    <sheetView tabSelected="1" zoomScale="80" zoomScaleNormal="80" workbookViewId="0">
      <selection activeCell="M38" sqref="M38"/>
    </sheetView>
  </sheetViews>
  <sheetFormatPr baseColWidth="10" defaultRowHeight="15" x14ac:dyDescent="0.25"/>
  <cols>
    <col min="1" max="1" width="5.28515625" customWidth="1"/>
    <col min="2" max="2" width="19.7109375" customWidth="1"/>
    <col min="3" max="3" width="18" customWidth="1"/>
    <col min="4" max="4" width="16.140625" customWidth="1"/>
    <col min="5" max="5" width="21.85546875" customWidth="1"/>
    <col min="9" max="9" width="22.140625" style="8" customWidth="1"/>
    <col min="10" max="10" width="22.42578125" customWidth="1"/>
    <col min="11" max="11" width="23.140625" customWidth="1"/>
    <col min="12" max="12" width="18.28515625" bestFit="1" customWidth="1"/>
    <col min="14" max="14" width="22.85546875" customWidth="1"/>
    <col min="15" max="15" width="20.42578125" customWidth="1"/>
    <col min="16" max="16" width="19.28515625" bestFit="1" customWidth="1"/>
  </cols>
  <sheetData>
    <row r="1" spans="1:16" ht="40.5" customHeight="1" x14ac:dyDescent="0.25">
      <c r="A1" s="135" t="s">
        <v>3</v>
      </c>
      <c r="B1" s="137" t="s">
        <v>4</v>
      </c>
      <c r="C1" s="137" t="s">
        <v>5</v>
      </c>
      <c r="D1" s="137"/>
      <c r="E1" s="137" t="s">
        <v>8</v>
      </c>
      <c r="F1" s="137"/>
      <c r="G1" s="137" t="s">
        <v>349</v>
      </c>
      <c r="H1" s="137"/>
      <c r="I1" s="137"/>
      <c r="J1" s="137"/>
      <c r="K1" s="154"/>
      <c r="M1" s="174" t="s">
        <v>350</v>
      </c>
      <c r="N1" s="109" t="s">
        <v>353</v>
      </c>
      <c r="O1" s="109" t="s">
        <v>354</v>
      </c>
      <c r="P1" s="109" t="s">
        <v>339</v>
      </c>
    </row>
    <row r="2" spans="1:16" ht="15" customHeight="1" x14ac:dyDescent="0.25">
      <c r="A2" s="136"/>
      <c r="B2" s="134"/>
      <c r="C2" s="133" t="s">
        <v>6</v>
      </c>
      <c r="D2" s="133" t="s">
        <v>7</v>
      </c>
      <c r="E2" s="134" t="s">
        <v>116</v>
      </c>
      <c r="F2" s="134" t="s">
        <v>10</v>
      </c>
      <c r="G2" s="133" t="s">
        <v>337</v>
      </c>
      <c r="H2" s="133" t="s">
        <v>338</v>
      </c>
      <c r="I2" s="134" t="s">
        <v>347</v>
      </c>
      <c r="J2" s="133" t="s">
        <v>339</v>
      </c>
      <c r="K2" s="193" t="s">
        <v>348</v>
      </c>
      <c r="L2" s="192"/>
      <c r="M2" s="175"/>
      <c r="N2" s="56" t="s">
        <v>351</v>
      </c>
      <c r="O2" s="56" t="s">
        <v>352</v>
      </c>
      <c r="P2" s="56" t="s">
        <v>355</v>
      </c>
    </row>
    <row r="3" spans="1:16" x14ac:dyDescent="0.25">
      <c r="A3" s="136"/>
      <c r="B3" s="134"/>
      <c r="C3" s="133"/>
      <c r="D3" s="133"/>
      <c r="E3" s="134"/>
      <c r="F3" s="134"/>
      <c r="G3" s="133"/>
      <c r="H3" s="133"/>
      <c r="I3" s="134"/>
      <c r="J3" s="133"/>
      <c r="K3" s="193"/>
      <c r="L3" s="192"/>
      <c r="M3" s="7">
        <v>1</v>
      </c>
      <c r="N3" s="187">
        <f>$K$40</f>
        <v>1881445.4096767032</v>
      </c>
      <c r="O3" s="187">
        <f>$J$40*(1-(1-$G$40)^M3)</f>
        <v>3874695.3333330699</v>
      </c>
      <c r="P3" s="187">
        <f>$J$40</f>
        <v>6794400000</v>
      </c>
    </row>
    <row r="4" spans="1:16" x14ac:dyDescent="0.25">
      <c r="A4" s="19">
        <v>1</v>
      </c>
      <c r="B4" s="9" t="s">
        <v>30</v>
      </c>
      <c r="C4" s="9" t="s">
        <v>57</v>
      </c>
      <c r="D4" s="9" t="s">
        <v>58</v>
      </c>
      <c r="E4" s="9">
        <v>72</v>
      </c>
      <c r="F4" s="9">
        <v>1</v>
      </c>
      <c r="G4" s="7">
        <v>4.4999999999999999E-4</v>
      </c>
      <c r="H4" s="7">
        <v>0.58874087248982743</v>
      </c>
      <c r="I4" s="131">
        <v>2000000</v>
      </c>
      <c r="J4" s="132">
        <f>E4*F4*I4</f>
        <v>144000000</v>
      </c>
      <c r="K4" s="194">
        <f>G4*J4*H4</f>
        <v>38150.408537340816</v>
      </c>
      <c r="L4" s="130"/>
      <c r="M4" s="7">
        <v>2</v>
      </c>
      <c r="N4" s="187">
        <f t="shared" ref="N4:N12" si="0">$K$40</f>
        <v>1881445.4096767032</v>
      </c>
      <c r="O4" s="187">
        <f t="shared" ref="O4:O12" si="1">$J$40*(1-(1-$G$40)^M4)</f>
        <v>7747181.0140216015</v>
      </c>
      <c r="P4" s="187">
        <f t="shared" ref="P4:P12" si="2">$J$40</f>
        <v>6794400000</v>
      </c>
    </row>
    <row r="5" spans="1:16" x14ac:dyDescent="0.25">
      <c r="A5" s="19">
        <v>2</v>
      </c>
      <c r="B5" s="9" t="s">
        <v>31</v>
      </c>
      <c r="C5" s="9" t="s">
        <v>59</v>
      </c>
      <c r="D5" s="9" t="s">
        <v>60</v>
      </c>
      <c r="E5" s="9">
        <v>78</v>
      </c>
      <c r="F5" s="9">
        <v>1</v>
      </c>
      <c r="G5" s="7">
        <v>8.8999999999999995E-4</v>
      </c>
      <c r="H5" s="7">
        <v>0.55385936132053804</v>
      </c>
      <c r="I5" s="131">
        <v>2000000</v>
      </c>
      <c r="J5" s="132">
        <f t="shared" ref="J5:J39" si="3">E5*F5*I5</f>
        <v>156000000</v>
      </c>
      <c r="K5" s="194">
        <f t="shared" ref="K5:K39" si="4">G5*J5*H5</f>
        <v>76897.833725743505</v>
      </c>
      <c r="M5" s="7">
        <v>3</v>
      </c>
      <c r="N5" s="187">
        <f t="shared" si="0"/>
        <v>1881445.4096767032</v>
      </c>
      <c r="O5" s="187">
        <f t="shared" si="1"/>
        <v>11617458.302182043</v>
      </c>
      <c r="P5" s="187">
        <f t="shared" si="2"/>
        <v>6794400000</v>
      </c>
    </row>
    <row r="6" spans="1:16" x14ac:dyDescent="0.25">
      <c r="A6" s="19">
        <v>3</v>
      </c>
      <c r="B6" s="9" t="s">
        <v>32</v>
      </c>
      <c r="C6" s="9" t="s">
        <v>59</v>
      </c>
      <c r="D6" s="9" t="s">
        <v>61</v>
      </c>
      <c r="E6" s="9">
        <v>52</v>
      </c>
      <c r="F6" s="9">
        <v>1</v>
      </c>
      <c r="G6" s="7">
        <v>8.8999999999999995E-4</v>
      </c>
      <c r="H6" s="7">
        <v>0.58874087248982743</v>
      </c>
      <c r="I6" s="131">
        <v>2000000</v>
      </c>
      <c r="J6" s="132">
        <f t="shared" si="3"/>
        <v>104000000</v>
      </c>
      <c r="K6" s="194">
        <f t="shared" si="4"/>
        <v>54493.855157658429</v>
      </c>
      <c r="M6" s="7">
        <v>4</v>
      </c>
      <c r="N6" s="187">
        <f t="shared" si="0"/>
        <v>1881445.4096767032</v>
      </c>
      <c r="O6" s="187">
        <f t="shared" si="1"/>
        <v>15485528.457210457</v>
      </c>
      <c r="P6" s="187">
        <f t="shared" si="2"/>
        <v>6794400000</v>
      </c>
    </row>
    <row r="7" spans="1:16" x14ac:dyDescent="0.25">
      <c r="A7" s="19">
        <v>4</v>
      </c>
      <c r="B7" s="9" t="s">
        <v>33</v>
      </c>
      <c r="C7" s="9" t="s">
        <v>62</v>
      </c>
      <c r="D7" s="9" t="s">
        <v>63</v>
      </c>
      <c r="E7" s="9">
        <v>29.7</v>
      </c>
      <c r="F7" s="9">
        <v>1</v>
      </c>
      <c r="G7" s="7">
        <v>8.8999999999999995E-4</v>
      </c>
      <c r="H7" s="7">
        <v>0.58874087248982743</v>
      </c>
      <c r="I7" s="131">
        <v>2000000</v>
      </c>
      <c r="J7" s="132">
        <f t="shared" si="3"/>
        <v>59400000</v>
      </c>
      <c r="K7" s="194">
        <f t="shared" si="4"/>
        <v>31124.374965047216</v>
      </c>
      <c r="M7" s="7">
        <v>5</v>
      </c>
      <c r="N7" s="187">
        <f t="shared" si="0"/>
        <v>1881445.4096767032</v>
      </c>
      <c r="O7" s="187">
        <f t="shared" si="1"/>
        <v>19351392.737787049</v>
      </c>
      <c r="P7" s="187">
        <f t="shared" si="2"/>
        <v>6794400000</v>
      </c>
    </row>
    <row r="8" spans="1:16" x14ac:dyDescent="0.25">
      <c r="A8" s="19">
        <v>5</v>
      </c>
      <c r="B8" s="9" t="s">
        <v>34</v>
      </c>
      <c r="C8" s="9" t="s">
        <v>64</v>
      </c>
      <c r="D8" s="9" t="s">
        <v>65</v>
      </c>
      <c r="E8" s="9">
        <v>35</v>
      </c>
      <c r="F8" s="9">
        <v>1</v>
      </c>
      <c r="G8" s="7">
        <v>8.8999999999999995E-4</v>
      </c>
      <c r="H8" s="7">
        <v>0.58874087248982743</v>
      </c>
      <c r="I8" s="131">
        <v>2000000</v>
      </c>
      <c r="J8" s="132">
        <f t="shared" si="3"/>
        <v>70000000</v>
      </c>
      <c r="K8" s="194">
        <f t="shared" si="4"/>
        <v>36678.556356116249</v>
      </c>
      <c r="M8" s="7">
        <v>6</v>
      </c>
      <c r="N8" s="187">
        <f t="shared" si="0"/>
        <v>1881445.4096767032</v>
      </c>
      <c r="O8" s="187">
        <f t="shared" si="1"/>
        <v>23215052.401872393</v>
      </c>
      <c r="P8" s="187">
        <f t="shared" si="2"/>
        <v>6794400000</v>
      </c>
    </row>
    <row r="9" spans="1:16" x14ac:dyDescent="0.25">
      <c r="A9" s="19">
        <v>6</v>
      </c>
      <c r="B9" s="9" t="s">
        <v>35</v>
      </c>
      <c r="C9" s="9" t="s">
        <v>66</v>
      </c>
      <c r="D9" s="9" t="s">
        <v>67</v>
      </c>
      <c r="E9" s="9">
        <v>60</v>
      </c>
      <c r="F9" s="9">
        <v>1</v>
      </c>
      <c r="G9" s="7">
        <v>8.8999999999999995E-4</v>
      </c>
      <c r="H9" s="7">
        <v>0.6196859336761773</v>
      </c>
      <c r="I9" s="131">
        <v>2000000</v>
      </c>
      <c r="J9" s="132">
        <f t="shared" si="3"/>
        <v>120000000</v>
      </c>
      <c r="K9" s="194">
        <f t="shared" si="4"/>
        <v>66182.45771661574</v>
      </c>
      <c r="M9" s="7">
        <v>7</v>
      </c>
      <c r="N9" s="187">
        <f t="shared" si="0"/>
        <v>1881445.4096767032</v>
      </c>
      <c r="O9" s="187">
        <f t="shared" si="1"/>
        <v>27076508.706711207</v>
      </c>
      <c r="P9" s="187">
        <f t="shared" si="2"/>
        <v>6794400000</v>
      </c>
    </row>
    <row r="10" spans="1:16" x14ac:dyDescent="0.25">
      <c r="A10" s="19">
        <v>7</v>
      </c>
      <c r="B10" s="9" t="s">
        <v>274</v>
      </c>
      <c r="C10" s="9" t="s">
        <v>68</v>
      </c>
      <c r="D10" s="9" t="s">
        <v>69</v>
      </c>
      <c r="E10" s="6">
        <v>54</v>
      </c>
      <c r="F10" s="6">
        <v>2</v>
      </c>
      <c r="G10" s="7">
        <v>8.8999999999999995E-4</v>
      </c>
      <c r="H10" s="7">
        <v>0.6513444574343713</v>
      </c>
      <c r="I10" s="131">
        <v>2000000</v>
      </c>
      <c r="J10" s="132">
        <f>E10*F10*I10</f>
        <v>216000000</v>
      </c>
      <c r="K10" s="194">
        <f>G10*J10*H10</f>
        <v>125214.45849718354</v>
      </c>
      <c r="M10" s="7">
        <v>8</v>
      </c>
      <c r="N10" s="187">
        <f t="shared" si="0"/>
        <v>1881445.4096767032</v>
      </c>
      <c r="O10" s="187">
        <f t="shared" si="1"/>
        <v>30935762.908828568</v>
      </c>
      <c r="P10" s="187">
        <f t="shared" si="2"/>
        <v>6794400000</v>
      </c>
    </row>
    <row r="11" spans="1:16" x14ac:dyDescent="0.25">
      <c r="A11" s="19">
        <v>8</v>
      </c>
      <c r="B11" s="9" t="s">
        <v>273</v>
      </c>
      <c r="C11" s="9" t="s">
        <v>275</v>
      </c>
      <c r="D11" s="9" t="s">
        <v>276</v>
      </c>
      <c r="E11" s="6" t="s">
        <v>277</v>
      </c>
      <c r="F11" s="6">
        <v>1</v>
      </c>
      <c r="G11" s="7">
        <v>8.8999999999999995E-4</v>
      </c>
      <c r="H11" s="7">
        <v>0.58874087248982743</v>
      </c>
      <c r="I11" s="131">
        <v>2000000</v>
      </c>
      <c r="J11" s="9" t="s">
        <v>185</v>
      </c>
      <c r="K11" s="20" t="s">
        <v>185</v>
      </c>
      <c r="M11" s="7">
        <v>9</v>
      </c>
      <c r="N11" s="187">
        <f t="shared" si="0"/>
        <v>1881445.4096767032</v>
      </c>
      <c r="O11" s="187">
        <f t="shared" si="1"/>
        <v>34792816.26403597</v>
      </c>
      <c r="P11" s="187">
        <f t="shared" si="2"/>
        <v>6794400000</v>
      </c>
    </row>
    <row r="12" spans="1:16" x14ac:dyDescent="0.25">
      <c r="A12" s="19">
        <v>9</v>
      </c>
      <c r="B12" s="9" t="s">
        <v>36</v>
      </c>
      <c r="C12" s="9" t="s">
        <v>70</v>
      </c>
      <c r="D12" s="9" t="s">
        <v>71</v>
      </c>
      <c r="E12" s="6">
        <v>78</v>
      </c>
      <c r="F12" s="6">
        <v>2</v>
      </c>
      <c r="G12" s="7">
        <v>4.4999999999999999E-4</v>
      </c>
      <c r="H12" s="7">
        <v>0.46985630987088711</v>
      </c>
      <c r="I12" s="131">
        <v>2000000</v>
      </c>
      <c r="J12" s="132">
        <f t="shared" si="3"/>
        <v>312000000</v>
      </c>
      <c r="K12" s="194">
        <f t="shared" si="4"/>
        <v>65967.825905872553</v>
      </c>
      <c r="M12" s="7">
        <v>10</v>
      </c>
      <c r="N12" s="187">
        <f t="shared" si="0"/>
        <v>1881445.4096767032</v>
      </c>
      <c r="O12" s="187">
        <f t="shared" si="1"/>
        <v>38647670.027427532</v>
      </c>
      <c r="P12" s="187">
        <f t="shared" si="2"/>
        <v>6794400000</v>
      </c>
    </row>
    <row r="13" spans="1:16" x14ac:dyDescent="0.25">
      <c r="A13" s="19">
        <v>10</v>
      </c>
      <c r="B13" s="9" t="s">
        <v>37</v>
      </c>
      <c r="C13" s="9" t="s">
        <v>72</v>
      </c>
      <c r="D13" s="9" t="s">
        <v>73</v>
      </c>
      <c r="E13" s="6">
        <v>60</v>
      </c>
      <c r="F13" s="6">
        <v>1</v>
      </c>
      <c r="G13" s="7">
        <v>1.6999999999999999E-3</v>
      </c>
      <c r="H13" s="7">
        <v>0.6196859336761773</v>
      </c>
      <c r="I13" s="131">
        <v>2000000</v>
      </c>
      <c r="J13" s="132">
        <f t="shared" si="3"/>
        <v>120000000</v>
      </c>
      <c r="K13" s="194">
        <f t="shared" si="4"/>
        <v>126415.93046994017</v>
      </c>
    </row>
    <row r="14" spans="1:16" x14ac:dyDescent="0.25">
      <c r="A14" s="19">
        <v>11</v>
      </c>
      <c r="B14" s="9" t="s">
        <v>38</v>
      </c>
      <c r="C14" s="9" t="s">
        <v>74</v>
      </c>
      <c r="D14" s="9" t="s">
        <v>75</v>
      </c>
      <c r="E14" s="6">
        <v>72</v>
      </c>
      <c r="F14" s="6">
        <v>1</v>
      </c>
      <c r="G14" s="7">
        <v>4.4999999999999999E-4</v>
      </c>
      <c r="H14" s="7">
        <v>0.54635192310488767</v>
      </c>
      <c r="I14" s="131">
        <v>2000000</v>
      </c>
      <c r="J14" s="132">
        <f t="shared" si="3"/>
        <v>144000000</v>
      </c>
      <c r="K14" s="194">
        <f t="shared" si="4"/>
        <v>35403.604617196725</v>
      </c>
      <c r="N14" s="130"/>
      <c r="O14" s="130"/>
      <c r="P14" s="130"/>
    </row>
    <row r="15" spans="1:16" x14ac:dyDescent="0.25">
      <c r="A15" s="19">
        <v>12</v>
      </c>
      <c r="B15" s="9" t="s">
        <v>182</v>
      </c>
      <c r="C15" s="9" t="s">
        <v>76</v>
      </c>
      <c r="D15" s="9" t="s">
        <v>77</v>
      </c>
      <c r="E15" s="6">
        <v>72</v>
      </c>
      <c r="F15" s="6">
        <v>1</v>
      </c>
      <c r="G15" s="7">
        <v>4.4999999999999999E-4</v>
      </c>
      <c r="H15" s="7">
        <v>0.54635192310488767</v>
      </c>
      <c r="I15" s="131">
        <v>2000000</v>
      </c>
      <c r="J15" s="132">
        <f t="shared" si="3"/>
        <v>144000000</v>
      </c>
      <c r="K15" s="194">
        <f t="shared" si="4"/>
        <v>35403.604617196725</v>
      </c>
      <c r="N15" s="130"/>
      <c r="O15" s="130"/>
      <c r="P15" s="130"/>
    </row>
    <row r="16" spans="1:16" x14ac:dyDescent="0.25">
      <c r="A16" s="19">
        <v>13</v>
      </c>
      <c r="B16" s="9" t="s">
        <v>39</v>
      </c>
      <c r="C16" s="9" t="s">
        <v>78</v>
      </c>
      <c r="D16" s="9" t="s">
        <v>79</v>
      </c>
      <c r="E16" s="6">
        <v>72</v>
      </c>
      <c r="F16" s="6">
        <v>1</v>
      </c>
      <c r="G16" s="7">
        <v>4.4999999999999999E-4</v>
      </c>
      <c r="H16" s="7">
        <v>0.16326530612244891</v>
      </c>
      <c r="I16" s="131">
        <v>2000000</v>
      </c>
      <c r="J16" s="132">
        <f t="shared" si="3"/>
        <v>144000000</v>
      </c>
      <c r="K16" s="194">
        <f t="shared" si="4"/>
        <v>10579.591836734689</v>
      </c>
      <c r="N16" s="130"/>
      <c r="O16" s="130"/>
      <c r="P16" s="130"/>
    </row>
    <row r="17" spans="1:16" x14ac:dyDescent="0.25">
      <c r="A17" s="19">
        <v>14</v>
      </c>
      <c r="B17" s="9" t="s">
        <v>40</v>
      </c>
      <c r="C17" s="9" t="s">
        <v>80</v>
      </c>
      <c r="D17" s="9" t="s">
        <v>81</v>
      </c>
      <c r="E17" s="6">
        <v>72</v>
      </c>
      <c r="F17" s="6">
        <v>1</v>
      </c>
      <c r="G17" s="7">
        <v>4.4999999999999999E-4</v>
      </c>
      <c r="H17" s="7">
        <v>0.16326530612244891</v>
      </c>
      <c r="I17" s="131">
        <v>2000000</v>
      </c>
      <c r="J17" s="132">
        <f t="shared" si="3"/>
        <v>144000000</v>
      </c>
      <c r="K17" s="194">
        <f t="shared" si="4"/>
        <v>10579.591836734689</v>
      </c>
      <c r="N17" s="130"/>
      <c r="O17" s="130"/>
      <c r="P17" s="130"/>
    </row>
    <row r="18" spans="1:16" x14ac:dyDescent="0.25">
      <c r="A18" s="19">
        <v>15</v>
      </c>
      <c r="B18" s="9" t="s">
        <v>41</v>
      </c>
      <c r="C18" s="9" t="s">
        <v>82</v>
      </c>
      <c r="D18" s="9" t="s">
        <v>83</v>
      </c>
      <c r="E18" s="6">
        <v>72</v>
      </c>
      <c r="F18" s="6">
        <v>1</v>
      </c>
      <c r="G18" s="7">
        <v>4.4999999999999999E-4</v>
      </c>
      <c r="H18" s="7">
        <v>0.16326530612244891</v>
      </c>
      <c r="I18" s="131">
        <v>2000000</v>
      </c>
      <c r="J18" s="132">
        <f t="shared" si="3"/>
        <v>144000000</v>
      </c>
      <c r="K18" s="194">
        <f t="shared" si="4"/>
        <v>10579.591836734689</v>
      </c>
      <c r="N18" s="130"/>
      <c r="O18" s="130"/>
      <c r="P18" s="130"/>
    </row>
    <row r="19" spans="1:16" x14ac:dyDescent="0.25">
      <c r="A19" s="19">
        <v>16</v>
      </c>
      <c r="B19" s="9" t="s">
        <v>42</v>
      </c>
      <c r="C19" s="9" t="s">
        <v>84</v>
      </c>
      <c r="D19" s="9" t="s">
        <v>85</v>
      </c>
      <c r="E19" s="6">
        <v>72</v>
      </c>
      <c r="F19" s="6">
        <v>2</v>
      </c>
      <c r="G19" s="7">
        <v>4.4999999999999999E-4</v>
      </c>
      <c r="H19" s="7">
        <v>0.59499999999999997</v>
      </c>
      <c r="I19" s="131">
        <v>2000000</v>
      </c>
      <c r="J19" s="132">
        <f t="shared" si="3"/>
        <v>288000000</v>
      </c>
      <c r="K19" s="194">
        <f t="shared" si="4"/>
        <v>77112</v>
      </c>
      <c r="N19" s="130"/>
      <c r="O19" s="130"/>
      <c r="P19" s="130"/>
    </row>
    <row r="20" spans="1:16" x14ac:dyDescent="0.25">
      <c r="A20" s="19">
        <v>17</v>
      </c>
      <c r="B20" s="9" t="s">
        <v>43</v>
      </c>
      <c r="C20" s="9" t="s">
        <v>86</v>
      </c>
      <c r="D20" s="9" t="s">
        <v>87</v>
      </c>
      <c r="E20" s="6">
        <v>72</v>
      </c>
      <c r="F20" s="6">
        <v>2</v>
      </c>
      <c r="G20" s="7">
        <v>4.4999999999999999E-4</v>
      </c>
      <c r="H20" s="7">
        <v>0.31999999999999967</v>
      </c>
      <c r="I20" s="131">
        <v>2000000</v>
      </c>
      <c r="J20" s="132">
        <f t="shared" si="3"/>
        <v>288000000</v>
      </c>
      <c r="K20" s="194">
        <f t="shared" si="4"/>
        <v>41471.999999999956</v>
      </c>
      <c r="N20" s="130"/>
      <c r="O20" s="130"/>
      <c r="P20" s="130"/>
    </row>
    <row r="21" spans="1:16" x14ac:dyDescent="0.25">
      <c r="A21" s="19">
        <v>18</v>
      </c>
      <c r="B21" s="9" t="s">
        <v>44</v>
      </c>
      <c r="C21" s="9" t="s">
        <v>88</v>
      </c>
      <c r="D21" s="9" t="s">
        <v>89</v>
      </c>
      <c r="E21" s="6">
        <v>72</v>
      </c>
      <c r="F21" s="6">
        <v>1</v>
      </c>
      <c r="G21" s="7">
        <v>4.4999999999999999E-4</v>
      </c>
      <c r="H21" s="7">
        <v>0.31999999999999967</v>
      </c>
      <c r="I21" s="131">
        <v>2000000</v>
      </c>
      <c r="J21" s="132">
        <f t="shared" si="3"/>
        <v>144000000</v>
      </c>
      <c r="K21" s="194">
        <f t="shared" si="4"/>
        <v>20735.999999999978</v>
      </c>
      <c r="N21" s="130"/>
      <c r="O21" s="130"/>
      <c r="P21" s="130"/>
    </row>
    <row r="22" spans="1:16" x14ac:dyDescent="0.25">
      <c r="A22" s="19">
        <v>19</v>
      </c>
      <c r="B22" s="9" t="s">
        <v>45</v>
      </c>
      <c r="C22" s="9" t="s">
        <v>90</v>
      </c>
      <c r="D22" s="9" t="s">
        <v>81</v>
      </c>
      <c r="E22" s="6">
        <v>72</v>
      </c>
      <c r="F22" s="6">
        <v>1</v>
      </c>
      <c r="G22" s="7">
        <v>4.4999999999999999E-4</v>
      </c>
      <c r="H22" s="7">
        <v>0.31999999999999967</v>
      </c>
      <c r="I22" s="131">
        <v>2000000</v>
      </c>
      <c r="J22" s="132">
        <f t="shared" si="3"/>
        <v>144000000</v>
      </c>
      <c r="K22" s="194">
        <f t="shared" si="4"/>
        <v>20735.999999999978</v>
      </c>
      <c r="N22" s="130"/>
      <c r="O22" s="130"/>
      <c r="P22" s="130"/>
    </row>
    <row r="23" spans="1:16" x14ac:dyDescent="0.25">
      <c r="A23" s="19">
        <v>20</v>
      </c>
      <c r="B23" s="9" t="s">
        <v>46</v>
      </c>
      <c r="C23" s="9" t="s">
        <v>91</v>
      </c>
      <c r="D23" s="9" t="s">
        <v>92</v>
      </c>
      <c r="E23" s="6">
        <v>72</v>
      </c>
      <c r="F23" s="6">
        <v>3</v>
      </c>
      <c r="G23" s="7">
        <v>4.4999999999999999E-4</v>
      </c>
      <c r="H23" s="7">
        <v>0.62873472159348109</v>
      </c>
      <c r="I23" s="131">
        <v>2000000</v>
      </c>
      <c r="J23" s="132">
        <f t="shared" si="3"/>
        <v>432000000</v>
      </c>
      <c r="K23" s="194">
        <f t="shared" si="4"/>
        <v>122226.02987777273</v>
      </c>
      <c r="N23" s="130"/>
      <c r="O23" s="130"/>
      <c r="P23" s="130"/>
    </row>
    <row r="24" spans="1:16" x14ac:dyDescent="0.25">
      <c r="A24" s="19">
        <v>21</v>
      </c>
      <c r="B24" s="9" t="s">
        <v>47</v>
      </c>
      <c r="C24" s="9" t="s">
        <v>93</v>
      </c>
      <c r="D24" s="9" t="s">
        <v>94</v>
      </c>
      <c r="E24" s="6">
        <v>72</v>
      </c>
      <c r="F24" s="6">
        <v>3</v>
      </c>
      <c r="G24" s="7">
        <v>4.4999999999999999E-4</v>
      </c>
      <c r="H24" s="7">
        <v>0.61659605551497432</v>
      </c>
      <c r="I24" s="131">
        <v>2000000</v>
      </c>
      <c r="J24" s="132">
        <f t="shared" si="3"/>
        <v>432000000</v>
      </c>
      <c r="K24" s="194">
        <f t="shared" si="4"/>
        <v>119866.27319211101</v>
      </c>
      <c r="N24" s="130"/>
      <c r="O24" s="130"/>
      <c r="P24" s="130"/>
    </row>
    <row r="25" spans="1:16" x14ac:dyDescent="0.25">
      <c r="A25" s="19">
        <v>22</v>
      </c>
      <c r="B25" s="9" t="s">
        <v>48</v>
      </c>
      <c r="C25" s="9" t="s">
        <v>97</v>
      </c>
      <c r="D25" s="9" t="s">
        <v>98</v>
      </c>
      <c r="E25" s="6">
        <v>36</v>
      </c>
      <c r="F25" s="6">
        <v>2</v>
      </c>
      <c r="G25" s="7">
        <v>4.4999999999999999E-4</v>
      </c>
      <c r="H25" s="7">
        <v>0.59046222028026585</v>
      </c>
      <c r="I25" s="131">
        <v>2000000</v>
      </c>
      <c r="J25" s="132">
        <f t="shared" si="3"/>
        <v>144000000</v>
      </c>
      <c r="K25" s="194">
        <f t="shared" si="4"/>
        <v>38261.951874161226</v>
      </c>
      <c r="N25" s="130"/>
      <c r="O25" s="130"/>
      <c r="P25" s="130"/>
    </row>
    <row r="26" spans="1:16" x14ac:dyDescent="0.25">
      <c r="A26" s="19">
        <v>23</v>
      </c>
      <c r="B26" s="9" t="s">
        <v>50</v>
      </c>
      <c r="C26" s="9" t="s">
        <v>99</v>
      </c>
      <c r="D26" s="9" t="s">
        <v>100</v>
      </c>
      <c r="E26" s="9">
        <v>36</v>
      </c>
      <c r="F26" s="9">
        <v>2</v>
      </c>
      <c r="G26" s="7">
        <v>4.4999999999999999E-4</v>
      </c>
      <c r="H26" s="7">
        <v>0.64030591266686754</v>
      </c>
      <c r="I26" s="131">
        <v>2000000</v>
      </c>
      <c r="J26" s="132">
        <f t="shared" si="3"/>
        <v>144000000</v>
      </c>
      <c r="K26" s="194">
        <f t="shared" si="4"/>
        <v>41491.823140813016</v>
      </c>
      <c r="N26" s="130"/>
      <c r="O26" s="130"/>
      <c r="P26" s="130"/>
    </row>
    <row r="27" spans="1:16" x14ac:dyDescent="0.25">
      <c r="A27" s="19">
        <v>24</v>
      </c>
      <c r="B27" s="9" t="s">
        <v>49</v>
      </c>
      <c r="C27" s="9" t="s">
        <v>101</v>
      </c>
      <c r="D27" s="9" t="s">
        <v>102</v>
      </c>
      <c r="E27" s="9">
        <v>72</v>
      </c>
      <c r="F27" s="9">
        <v>1</v>
      </c>
      <c r="G27" s="7">
        <v>4.4999999999999999E-4</v>
      </c>
      <c r="H27" s="7">
        <v>0.31999999999999967</v>
      </c>
      <c r="I27" s="131">
        <v>2000000</v>
      </c>
      <c r="J27" s="132">
        <f t="shared" si="3"/>
        <v>144000000</v>
      </c>
      <c r="K27" s="194">
        <f t="shared" si="4"/>
        <v>20735.999999999978</v>
      </c>
      <c r="N27" s="130"/>
      <c r="O27" s="130"/>
      <c r="P27" s="130"/>
    </row>
    <row r="28" spans="1:16" x14ac:dyDescent="0.25">
      <c r="A28" s="19">
        <v>25</v>
      </c>
      <c r="B28" s="9" t="s">
        <v>51</v>
      </c>
      <c r="C28" s="9" t="s">
        <v>103</v>
      </c>
      <c r="D28" s="9" t="s">
        <v>104</v>
      </c>
      <c r="E28" s="9">
        <v>82.5</v>
      </c>
      <c r="F28" s="9">
        <v>1</v>
      </c>
      <c r="G28" s="7">
        <v>4.4999999999999999E-4</v>
      </c>
      <c r="H28" s="7">
        <v>0.31999999999999967</v>
      </c>
      <c r="I28" s="131">
        <v>2000000</v>
      </c>
      <c r="J28" s="132">
        <f t="shared" si="3"/>
        <v>165000000</v>
      </c>
      <c r="K28" s="194">
        <f t="shared" si="4"/>
        <v>23759.999999999975</v>
      </c>
      <c r="N28" s="130"/>
      <c r="O28" s="130"/>
      <c r="P28" s="130"/>
    </row>
    <row r="29" spans="1:16" x14ac:dyDescent="0.25">
      <c r="A29" s="19">
        <v>26</v>
      </c>
      <c r="B29" s="9" t="s">
        <v>52</v>
      </c>
      <c r="C29" s="9" t="s">
        <v>105</v>
      </c>
      <c r="D29" s="9" t="s">
        <v>106</v>
      </c>
      <c r="E29" s="9">
        <v>72</v>
      </c>
      <c r="F29" s="9">
        <v>2</v>
      </c>
      <c r="G29" s="7">
        <v>4.4999999999999999E-4</v>
      </c>
      <c r="H29" s="7">
        <v>0.59499999999999997</v>
      </c>
      <c r="I29" s="131">
        <v>2000000</v>
      </c>
      <c r="J29" s="132">
        <f t="shared" si="3"/>
        <v>288000000</v>
      </c>
      <c r="K29" s="194">
        <f t="shared" si="4"/>
        <v>77112</v>
      </c>
      <c r="N29" s="130"/>
      <c r="O29" s="130"/>
      <c r="P29" s="130"/>
    </row>
    <row r="30" spans="1:16" x14ac:dyDescent="0.25">
      <c r="A30" s="19">
        <v>27</v>
      </c>
      <c r="B30" s="9" t="s">
        <v>53</v>
      </c>
      <c r="C30" s="9" t="s">
        <v>107</v>
      </c>
      <c r="D30" s="9" t="s">
        <v>108</v>
      </c>
      <c r="E30" s="9">
        <v>72</v>
      </c>
      <c r="F30" s="9">
        <v>1</v>
      </c>
      <c r="G30" s="7">
        <v>4.4999999999999999E-4</v>
      </c>
      <c r="H30" s="7">
        <v>0.51434428718067338</v>
      </c>
      <c r="I30" s="131">
        <v>2000000</v>
      </c>
      <c r="J30" s="132">
        <f t="shared" si="3"/>
        <v>144000000</v>
      </c>
      <c r="K30" s="194">
        <f t="shared" si="4"/>
        <v>33329.509809307638</v>
      </c>
      <c r="N30" s="130"/>
      <c r="O30" s="130"/>
      <c r="P30" s="130"/>
    </row>
    <row r="31" spans="1:16" x14ac:dyDescent="0.25">
      <c r="A31" s="19">
        <v>28</v>
      </c>
      <c r="B31" s="9" t="s">
        <v>54</v>
      </c>
      <c r="C31" s="9" t="s">
        <v>109</v>
      </c>
      <c r="D31" s="9" t="s">
        <v>110</v>
      </c>
      <c r="E31" s="9">
        <v>72</v>
      </c>
      <c r="F31" s="9">
        <v>1</v>
      </c>
      <c r="G31" s="7">
        <v>4.4999999999999999E-4</v>
      </c>
      <c r="H31" s="7">
        <v>0.1755829903978052</v>
      </c>
      <c r="I31" s="131">
        <v>2000000</v>
      </c>
      <c r="J31" s="132">
        <f t="shared" si="3"/>
        <v>144000000</v>
      </c>
      <c r="K31" s="194">
        <f t="shared" si="4"/>
        <v>11377.777777777777</v>
      </c>
      <c r="N31" s="130"/>
      <c r="O31" s="130"/>
      <c r="P31" s="130"/>
    </row>
    <row r="32" spans="1:16" x14ac:dyDescent="0.25">
      <c r="A32" s="19">
        <v>29</v>
      </c>
      <c r="B32" s="9" t="s">
        <v>55</v>
      </c>
      <c r="C32" s="9" t="s">
        <v>111</v>
      </c>
      <c r="D32" s="9" t="s">
        <v>112</v>
      </c>
      <c r="E32" s="9">
        <v>72</v>
      </c>
      <c r="F32" s="9">
        <v>2</v>
      </c>
      <c r="G32" s="7">
        <v>4.4999999999999999E-4</v>
      </c>
      <c r="H32" s="7">
        <v>0.59046222028026585</v>
      </c>
      <c r="I32" s="131">
        <v>2000000</v>
      </c>
      <c r="J32" s="132">
        <f t="shared" si="3"/>
        <v>288000000</v>
      </c>
      <c r="K32" s="194">
        <f t="shared" si="4"/>
        <v>76523.903748322453</v>
      </c>
      <c r="N32" s="130"/>
      <c r="O32" s="130"/>
      <c r="P32" s="130"/>
    </row>
    <row r="33" spans="1:16" x14ac:dyDescent="0.25">
      <c r="A33" s="19">
        <v>30</v>
      </c>
      <c r="B33" s="9" t="s">
        <v>56</v>
      </c>
      <c r="C33" s="9" t="s">
        <v>113</v>
      </c>
      <c r="D33" s="9" t="s">
        <v>114</v>
      </c>
      <c r="E33" s="9">
        <v>72</v>
      </c>
      <c r="F33" s="9">
        <v>2</v>
      </c>
      <c r="G33" s="7">
        <v>4.4999999999999999E-4</v>
      </c>
      <c r="H33" s="7">
        <v>0.59046222028026585</v>
      </c>
      <c r="I33" s="131">
        <v>2000000</v>
      </c>
      <c r="J33" s="132">
        <f t="shared" si="3"/>
        <v>288000000</v>
      </c>
      <c r="K33" s="194">
        <f t="shared" si="4"/>
        <v>76523.903748322453</v>
      </c>
      <c r="N33" s="130"/>
      <c r="O33" s="130"/>
      <c r="P33" s="130"/>
    </row>
    <row r="34" spans="1:16" x14ac:dyDescent="0.25">
      <c r="A34" s="19">
        <v>31</v>
      </c>
      <c r="B34" s="7" t="s">
        <v>186</v>
      </c>
      <c r="C34" s="9" t="s">
        <v>191</v>
      </c>
      <c r="D34" s="9" t="s">
        <v>192</v>
      </c>
      <c r="E34" s="7">
        <v>72</v>
      </c>
      <c r="F34" s="9">
        <v>2</v>
      </c>
      <c r="G34" s="7">
        <v>4.4999999999999999E-4</v>
      </c>
      <c r="H34" s="7">
        <v>0.5491397165235723</v>
      </c>
      <c r="I34" s="131">
        <v>2000000</v>
      </c>
      <c r="J34" s="132">
        <f t="shared" si="3"/>
        <v>288000000</v>
      </c>
      <c r="K34" s="194">
        <f t="shared" si="4"/>
        <v>71168.507261454972</v>
      </c>
      <c r="N34" s="130"/>
      <c r="O34" s="130"/>
      <c r="P34" s="130"/>
    </row>
    <row r="35" spans="1:16" x14ac:dyDescent="0.25">
      <c r="A35" s="19">
        <v>32</v>
      </c>
      <c r="B35" s="7" t="s">
        <v>187</v>
      </c>
      <c r="C35" s="9" t="s">
        <v>197</v>
      </c>
      <c r="D35" s="9" t="s">
        <v>198</v>
      </c>
      <c r="E35" s="7">
        <v>72</v>
      </c>
      <c r="F35" s="9">
        <v>1</v>
      </c>
      <c r="G35" s="7">
        <v>4.4999999999999999E-4</v>
      </c>
      <c r="H35" s="7">
        <v>0.58874087248982743</v>
      </c>
      <c r="I35" s="131">
        <v>2000000</v>
      </c>
      <c r="J35" s="132">
        <f t="shared" si="3"/>
        <v>144000000</v>
      </c>
      <c r="K35" s="194">
        <f t="shared" si="4"/>
        <v>38150.408537340816</v>
      </c>
      <c r="N35" s="130"/>
      <c r="O35" s="130"/>
      <c r="P35" s="130"/>
    </row>
    <row r="36" spans="1:16" x14ac:dyDescent="0.25">
      <c r="A36" s="19">
        <v>33</v>
      </c>
      <c r="B36" s="7" t="s">
        <v>188</v>
      </c>
      <c r="C36" s="9" t="s">
        <v>199</v>
      </c>
      <c r="D36" s="9" t="s">
        <v>75</v>
      </c>
      <c r="E36" s="7">
        <v>72</v>
      </c>
      <c r="F36" s="9">
        <v>4</v>
      </c>
      <c r="G36" s="7">
        <v>4.4999999999999999E-4</v>
      </c>
      <c r="H36" s="7">
        <v>0.65929327761775325</v>
      </c>
      <c r="I36" s="131">
        <v>2000000</v>
      </c>
      <c r="J36" s="132">
        <f t="shared" si="3"/>
        <v>576000000</v>
      </c>
      <c r="K36" s="194">
        <f t="shared" si="4"/>
        <v>170888.81755852164</v>
      </c>
      <c r="N36" s="130"/>
      <c r="O36" s="130"/>
      <c r="P36" s="130"/>
    </row>
    <row r="37" spans="1:16" x14ac:dyDescent="0.25">
      <c r="A37" s="19">
        <v>34</v>
      </c>
      <c r="B37" s="9" t="s">
        <v>189</v>
      </c>
      <c r="C37" s="9" t="s">
        <v>205</v>
      </c>
      <c r="D37" s="9" t="s">
        <v>206</v>
      </c>
      <c r="E37" s="9">
        <v>72</v>
      </c>
      <c r="F37" s="9">
        <v>1</v>
      </c>
      <c r="G37" s="7">
        <v>4.4999999999999999E-4</v>
      </c>
      <c r="H37" s="7">
        <v>0.58874087248982743</v>
      </c>
      <c r="I37" s="131">
        <v>2000000</v>
      </c>
      <c r="J37" s="132">
        <f t="shared" si="3"/>
        <v>144000000</v>
      </c>
      <c r="K37" s="194">
        <f t="shared" si="4"/>
        <v>38150.408537340816</v>
      </c>
      <c r="N37" s="130"/>
      <c r="O37" s="130"/>
      <c r="P37" s="130"/>
    </row>
    <row r="38" spans="1:16" x14ac:dyDescent="0.25">
      <c r="A38" s="19">
        <v>35</v>
      </c>
      <c r="B38" s="9" t="s">
        <v>288</v>
      </c>
      <c r="C38" s="9" t="s">
        <v>201</v>
      </c>
      <c r="D38" s="9" t="s">
        <v>202</v>
      </c>
      <c r="E38" s="9" t="s">
        <v>185</v>
      </c>
      <c r="F38" s="9" t="s">
        <v>185</v>
      </c>
      <c r="G38" s="7">
        <v>4.4999999999999999E-4</v>
      </c>
      <c r="H38" s="7">
        <v>0.64030591266686754</v>
      </c>
      <c r="I38" s="131">
        <v>2000000</v>
      </c>
      <c r="J38" s="9" t="s">
        <v>185</v>
      </c>
      <c r="K38" s="20" t="s">
        <v>185</v>
      </c>
      <c r="N38" s="130"/>
      <c r="O38" s="9"/>
      <c r="P38" s="130"/>
    </row>
    <row r="39" spans="1:16" ht="15.75" thickBot="1" x14ac:dyDescent="0.3">
      <c r="A39" s="35">
        <v>36</v>
      </c>
      <c r="B39" s="22" t="s">
        <v>190</v>
      </c>
      <c r="C39" s="22" t="s">
        <v>95</v>
      </c>
      <c r="D39" s="22" t="s">
        <v>96</v>
      </c>
      <c r="E39" s="22">
        <v>72</v>
      </c>
      <c r="F39" s="22">
        <v>1</v>
      </c>
      <c r="G39" s="195">
        <v>4.4999999999999999E-4</v>
      </c>
      <c r="H39" s="195">
        <v>0.58874087248982743</v>
      </c>
      <c r="I39" s="131">
        <v>2000000</v>
      </c>
      <c r="J39" s="196">
        <f t="shared" si="3"/>
        <v>144000000</v>
      </c>
      <c r="K39" s="197">
        <f t="shared" si="4"/>
        <v>38150.408537340816</v>
      </c>
      <c r="N39" s="130"/>
      <c r="O39" s="130"/>
      <c r="P39" s="130"/>
    </row>
    <row r="40" spans="1:16" ht="15.75" thickBot="1" x14ac:dyDescent="0.3">
      <c r="F40" s="188" t="s">
        <v>356</v>
      </c>
      <c r="G40" s="189">
        <f>AVERAGE(G4:G39)</f>
        <v>5.7027777777777784E-4</v>
      </c>
      <c r="J40" s="190">
        <f>SUM(J4:J39)</f>
        <v>6794400000</v>
      </c>
      <c r="K40" s="191">
        <f>SUM(K4:K39)</f>
        <v>1881445.4096767032</v>
      </c>
      <c r="N40" s="130"/>
    </row>
  </sheetData>
  <mergeCells count="15">
    <mergeCell ref="E2:E3"/>
    <mergeCell ref="E1:F1"/>
    <mergeCell ref="M1:M2"/>
    <mergeCell ref="A1:A3"/>
    <mergeCell ref="B1:B3"/>
    <mergeCell ref="C1:D1"/>
    <mergeCell ref="C2:C3"/>
    <mergeCell ref="D2:D3"/>
    <mergeCell ref="K2:K3"/>
    <mergeCell ref="G1:K1"/>
    <mergeCell ref="F2:F3"/>
    <mergeCell ref="G2:G3"/>
    <mergeCell ref="H2:H3"/>
    <mergeCell ref="I2:I3"/>
    <mergeCell ref="J2:J3"/>
  </mergeCells>
  <pageMargins left="0.25" right="0.25" top="0.75" bottom="0.75" header="0.3" footer="0.3"/>
  <pageSetup paperSize="9" scale="75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EDIFICACIONES</vt:lpstr>
      <vt:lpstr>OBRAS LINEALES</vt:lpstr>
      <vt:lpstr>ANALISIS DE DATOS</vt:lpstr>
      <vt:lpstr>FRAGILIDAD</vt:lpstr>
      <vt:lpstr>VULNERABILIDAD</vt:lpstr>
      <vt:lpstr>CALCULO DEL RIESGO</vt:lpstr>
      <vt:lpstr>CALCULO RIESGO PERDIDA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AMBIENTAL MAV COLOMBIA</dc:creator>
  <cp:lastModifiedBy>AMBIENTAL MAV COLOMBIA</cp:lastModifiedBy>
  <cp:lastPrinted>2026-10-06T14:09:32Z</cp:lastPrinted>
  <dcterms:created xsi:type="dcterms:W3CDTF">2026-07-27T20:37:56Z</dcterms:created>
  <dcterms:modified xsi:type="dcterms:W3CDTF">2026-10-06T15:52:16Z</dcterms:modified>
</cp:coreProperties>
</file>