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2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RVICIO TECNICO\Downloads\OTROS\ESTUDIO DE AMENAZA, VULNERABILIDAD Y RIESGO\ANALISIS DE VULNERABILIDAD\"/>
    </mc:Choice>
  </mc:AlternateContent>
  <xr:revisionPtr revIDLastSave="0" documentId="13_ncr:1_{1F784985-8935-45B3-985B-3174D4CA5B7C}" xr6:coauthVersionLast="47" xr6:coauthVersionMax="47" xr10:uidLastSave="{00000000-0000-0000-0000-000000000000}"/>
  <bookViews>
    <workbookView xWindow="-28920" yWindow="2325" windowWidth="29040" windowHeight="15720" activeTab="3" xr2:uid="{2BDC9BF8-2632-4571-9FB6-9D00B40C1C85}"/>
  </bookViews>
  <sheets>
    <sheet name="EDIFICACIONES" sheetId="2" r:id="rId1"/>
    <sheet name="OBRAS LINEALES" sheetId="3" r:id="rId2"/>
    <sheet name="Hoja3" sheetId="4" r:id="rId3"/>
    <sheet name="Hoja1" sheetId="5" r:id="rId4"/>
  </sheets>
  <definedNames>
    <definedName name="_xlnm._FilterDatabase" localSheetId="0" hidden="1">EDIFICACIONES!$A$1:$AC$39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5" l="1"/>
  <c r="AK4" i="2"/>
  <c r="H3" i="5"/>
  <c r="H4" i="5" s="1"/>
  <c r="H5" i="5" s="1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H35" i="5" s="1"/>
  <c r="H36" i="5" s="1"/>
  <c r="H37" i="5" s="1"/>
  <c r="I37" i="5" s="1"/>
  <c r="AK31" i="2"/>
  <c r="AK7" i="2"/>
  <c r="AK5" i="2"/>
  <c r="AH4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2" i="2"/>
  <c r="AK33" i="2"/>
  <c r="AK34" i="2"/>
  <c r="AK35" i="2"/>
  <c r="AK36" i="2"/>
  <c r="AK37" i="2"/>
  <c r="AK38" i="2"/>
  <c r="AK39" i="2"/>
  <c r="AK6" i="2"/>
  <c r="AK8" i="2"/>
  <c r="AK9" i="2"/>
  <c r="AK10" i="2"/>
  <c r="AH11" i="2"/>
  <c r="AI11" i="2" s="1"/>
  <c r="AI9" i="2"/>
  <c r="AI12" i="2"/>
  <c r="AI29" i="2"/>
  <c r="AI31" i="2"/>
  <c r="AI32" i="2"/>
  <c r="AI34" i="2"/>
  <c r="AI35" i="2"/>
  <c r="AI37" i="2"/>
  <c r="AI38" i="2"/>
  <c r="AI39" i="2"/>
  <c r="AH5" i="2"/>
  <c r="AI5" i="2" s="1"/>
  <c r="AH6" i="2"/>
  <c r="AI6" i="2" s="1"/>
  <c r="AH7" i="2"/>
  <c r="AI7" i="2" s="1"/>
  <c r="AH8" i="2"/>
  <c r="AI8" i="2" s="1"/>
  <c r="AH9" i="2"/>
  <c r="AH10" i="2"/>
  <c r="AI10" i="2" s="1"/>
  <c r="AH12" i="2"/>
  <c r="AH13" i="2"/>
  <c r="AI13" i="2" s="1"/>
  <c r="AH14" i="2"/>
  <c r="AI14" i="2" s="1"/>
  <c r="AH15" i="2"/>
  <c r="AI15" i="2" s="1"/>
  <c r="AH16" i="2"/>
  <c r="AI16" i="2" s="1"/>
  <c r="AH17" i="2"/>
  <c r="AI17" i="2" s="1"/>
  <c r="AH18" i="2"/>
  <c r="AI18" i="2" s="1"/>
  <c r="AH19" i="2"/>
  <c r="AI19" i="2" s="1"/>
  <c r="AH20" i="2"/>
  <c r="AI20" i="2" s="1"/>
  <c r="AH21" i="2"/>
  <c r="AI21" i="2" s="1"/>
  <c r="AH22" i="2"/>
  <c r="AI22" i="2" s="1"/>
  <c r="AH23" i="2"/>
  <c r="AI23" i="2" s="1"/>
  <c r="AH24" i="2"/>
  <c r="AI24" i="2" s="1"/>
  <c r="AH25" i="2"/>
  <c r="AI25" i="2" s="1"/>
  <c r="AH26" i="2"/>
  <c r="AI26" i="2" s="1"/>
  <c r="AH27" i="2"/>
  <c r="AI27" i="2" s="1"/>
  <c r="AH28" i="2"/>
  <c r="AI28" i="2" s="1"/>
  <c r="AH29" i="2"/>
  <c r="AH30" i="2"/>
  <c r="AI30" i="2" s="1"/>
  <c r="AH31" i="2"/>
  <c r="AH32" i="2"/>
  <c r="AH33" i="2"/>
  <c r="AI33" i="2" s="1"/>
  <c r="AH34" i="2"/>
  <c r="AH35" i="2"/>
  <c r="AH36" i="2"/>
  <c r="AI36" i="2" s="1"/>
  <c r="AH37" i="2"/>
  <c r="AH38" i="2"/>
  <c r="AH39" i="2"/>
  <c r="AI4" i="2"/>
  <c r="B108" i="4"/>
  <c r="B102" i="4"/>
  <c r="B97" i="4"/>
  <c r="B88" i="4"/>
  <c r="B79" i="4"/>
  <c r="C79" i="4" s="1"/>
  <c r="B72" i="4"/>
  <c r="B65" i="4"/>
  <c r="B58" i="4"/>
  <c r="B52" i="4"/>
  <c r="B46" i="4"/>
  <c r="B33" i="4"/>
  <c r="C33" i="4" s="1"/>
  <c r="B24" i="4"/>
  <c r="C32" i="4"/>
  <c r="I22" i="5" l="1"/>
  <c r="I21" i="5"/>
  <c r="I19" i="5"/>
  <c r="I36" i="5"/>
  <c r="I15" i="5"/>
  <c r="I14" i="5"/>
  <c r="I12" i="5"/>
  <c r="I10" i="5"/>
  <c r="I29" i="5"/>
  <c r="I8" i="5"/>
  <c r="I7" i="5"/>
  <c r="I26" i="5"/>
  <c r="I6" i="5"/>
  <c r="I20" i="5"/>
  <c r="I17" i="5"/>
  <c r="I35" i="5"/>
  <c r="I33" i="5"/>
  <c r="I11" i="5"/>
  <c r="I9" i="5"/>
  <c r="I27" i="5"/>
  <c r="I25" i="5"/>
  <c r="I5" i="5"/>
  <c r="I16" i="5"/>
  <c r="I34" i="5"/>
  <c r="I13" i="5"/>
  <c r="I32" i="5"/>
  <c r="I31" i="5"/>
  <c r="I30" i="5"/>
  <c r="I28" i="5"/>
  <c r="I24" i="5"/>
  <c r="I4" i="5"/>
  <c r="I18" i="5"/>
  <c r="I23" i="5"/>
  <c r="I3" i="5"/>
  <c r="C75" i="4"/>
  <c r="C76" i="4"/>
  <c r="C77" i="4"/>
  <c r="C78" i="4"/>
  <c r="C28" i="4"/>
  <c r="C29" i="4"/>
  <c r="C27" i="4"/>
  <c r="C30" i="4"/>
  <c r="C31" i="4"/>
</calcChain>
</file>

<file path=xl/sharedStrings.xml><?xml version="1.0" encoding="utf-8"?>
<sst xmlns="http://schemas.openxmlformats.org/spreadsheetml/2006/main" count="1146" uniqueCount="321">
  <si>
    <t>Ninguno</t>
  </si>
  <si>
    <t>Moderado</t>
  </si>
  <si>
    <t>Leve</t>
  </si>
  <si>
    <t>ID</t>
  </si>
  <si>
    <t>DIRECCION PREDIO</t>
  </si>
  <si>
    <t>COORDENADAS</t>
  </si>
  <si>
    <t>LONGITUD</t>
  </si>
  <si>
    <t>LATITUD</t>
  </si>
  <si>
    <t>CLASIFICACION DE LAS EDIFICACIONES</t>
  </si>
  <si>
    <t>UBICACIÓN EN LA MANZANA</t>
  </si>
  <si>
    <t>NUMERO DE PISOS</t>
  </si>
  <si>
    <t>ESTADO DE LA CONSTRUCCION</t>
  </si>
  <si>
    <t>CALIDAD EN LA CONSTRUCCION</t>
  </si>
  <si>
    <t>SERVICIOS PUBLICOS EN EL PREDIO</t>
  </si>
  <si>
    <t>DESCRIPCION DEL SISTEMA ESTRUCTURAL</t>
  </si>
  <si>
    <t>CIMENTACION</t>
  </si>
  <si>
    <t>SISTEMA DE ENTREPISOS</t>
  </si>
  <si>
    <t>SISTEMA ESTRUCTURAL</t>
  </si>
  <si>
    <t>SISTEMA DE CUBIERTA</t>
  </si>
  <si>
    <t>FECHA DE CONSTRUCCION</t>
  </si>
  <si>
    <t>REFORMAS EN LA ESTRUCTUR</t>
  </si>
  <si>
    <t>IRREGULARIDAD EN PLANTA</t>
  </si>
  <si>
    <t>EVALUACION Y DIAGNOSTICO DE DAÑOS DE LA EDIFICACION</t>
  </si>
  <si>
    <t>CAUSA DE DAÑOS PRESENTES</t>
  </si>
  <si>
    <t>CONSECUENCIAS PRESENTES</t>
  </si>
  <si>
    <t>INUNDACIONES PREVIAS</t>
  </si>
  <si>
    <t>EVALUACION DE DAÑOS EN ELEMENTOS ESTRUCTURALES</t>
  </si>
  <si>
    <t>SISTEMA DE RECOLECCION DE AGUAS SERVIDAS</t>
  </si>
  <si>
    <t>CONDICIONES DE LOS MOVIMIENTOS EN MASA EN EL PREDIO</t>
  </si>
  <si>
    <t>ZONAS  O ESCENARIOS DE EXPOSICION</t>
  </si>
  <si>
    <t>MZ_A12</t>
  </si>
  <si>
    <t>MZ_A13</t>
  </si>
  <si>
    <t>MZ_A14</t>
  </si>
  <si>
    <t>MZ_A15</t>
  </si>
  <si>
    <t>MZ_A16</t>
  </si>
  <si>
    <t>MZ_A17</t>
  </si>
  <si>
    <t>MZ_E4</t>
  </si>
  <si>
    <t>MZ_F1</t>
  </si>
  <si>
    <t>MZ_G1</t>
  </si>
  <si>
    <t>MZ_H2</t>
  </si>
  <si>
    <t>MZ_H3</t>
  </si>
  <si>
    <t>MZ_H4</t>
  </si>
  <si>
    <t>MZ_H5</t>
  </si>
  <si>
    <t>MZ_I1</t>
  </si>
  <si>
    <t>MZ_I2</t>
  </si>
  <si>
    <t>MZ_J6</t>
  </si>
  <si>
    <t>MZ_K2</t>
  </si>
  <si>
    <t>MZ_K3</t>
  </si>
  <si>
    <t>MZ_M1</t>
  </si>
  <si>
    <t>MZ_M2</t>
  </si>
  <si>
    <t>MZ_M1A</t>
  </si>
  <si>
    <t>MZ_M3</t>
  </si>
  <si>
    <t>MZ_M4</t>
  </si>
  <si>
    <t>MZ_O1</t>
  </si>
  <si>
    <t>MZ_O2</t>
  </si>
  <si>
    <t>MZ_O3</t>
  </si>
  <si>
    <t>MZ_O4</t>
  </si>
  <si>
    <t xml:space="preserve"> 75° 8'49.75"O</t>
  </si>
  <si>
    <t xml:space="preserve">  4°27'13.09"N</t>
  </si>
  <si>
    <t xml:space="preserve"> 75° 8'49.96"O</t>
  </si>
  <si>
    <t xml:space="preserve">  4°27'13.19"N</t>
  </si>
  <si>
    <t xml:space="preserve"> 4°27'13.03"N</t>
  </si>
  <si>
    <t xml:space="preserve"> 75° 8'50.00"O</t>
  </si>
  <si>
    <t xml:space="preserve">  4°27'12.89"N</t>
  </si>
  <si>
    <t xml:space="preserve"> 75° 8'49.84"O</t>
  </si>
  <si>
    <t xml:space="preserve">  4°27'12.99"N</t>
  </si>
  <si>
    <t>75° 8'49.93"O</t>
  </si>
  <si>
    <t>4°27'13.00"N</t>
  </si>
  <si>
    <t xml:space="preserve"> 75° 8'51.25"O</t>
  </si>
  <si>
    <t xml:space="preserve">  4°27'13.34"N</t>
  </si>
  <si>
    <t xml:space="preserve"> 75° 8'52.39"O</t>
  </si>
  <si>
    <t xml:space="preserve">  4°27'15.01"N</t>
  </si>
  <si>
    <t xml:space="preserve"> 75° 8'52.94"O</t>
  </si>
  <si>
    <t xml:space="preserve">  4°27'15.20"N</t>
  </si>
  <si>
    <t xml:space="preserve"> 75° 8'52.66"O</t>
  </si>
  <si>
    <t xml:space="preserve">  4°27'15.24"N</t>
  </si>
  <si>
    <t xml:space="preserve"> 75° 8'53.09"O</t>
  </si>
  <si>
    <t xml:space="preserve">  4°27'15.32"N</t>
  </si>
  <si>
    <t xml:space="preserve"> 75° 8'53.50"O</t>
  </si>
  <si>
    <t xml:space="preserve">  4°27'14.86"N</t>
  </si>
  <si>
    <t xml:space="preserve"> 75° 8'53.51"O</t>
  </si>
  <si>
    <t xml:space="preserve">  4°27'14.81"N</t>
  </si>
  <si>
    <t xml:space="preserve"> 75° 8'53.61"O</t>
  </si>
  <si>
    <t xml:space="preserve">  4°27'14.65"N</t>
  </si>
  <si>
    <t xml:space="preserve"> 75° 8'54.61"O</t>
  </si>
  <si>
    <t xml:space="preserve">  4°27'14.73"N</t>
  </si>
  <si>
    <t xml:space="preserve"> 75° 8'53.43"O</t>
  </si>
  <si>
    <t xml:space="preserve">  4°27'15.55"N</t>
  </si>
  <si>
    <t xml:space="preserve"> 75° 8'53.69"O</t>
  </si>
  <si>
    <t xml:space="preserve">  4°27'15.41"N</t>
  </si>
  <si>
    <t xml:space="preserve"> 75° 8'54.81"O</t>
  </si>
  <si>
    <t xml:space="preserve"> 75° 8'54.60"O</t>
  </si>
  <si>
    <t xml:space="preserve">  4°27'15.85"N</t>
  </si>
  <si>
    <t xml:space="preserve"> 75° 8'54.76"O</t>
  </si>
  <si>
    <t xml:space="preserve">  4°27'15.89"N</t>
  </si>
  <si>
    <t xml:space="preserve"> 75° 8'55.05"O</t>
  </si>
  <si>
    <t xml:space="preserve">  4°27'16.04"N</t>
  </si>
  <si>
    <t xml:space="preserve"> 75° 8'55.42"O</t>
  </si>
  <si>
    <t xml:space="preserve">  4°27'15.90"N</t>
  </si>
  <si>
    <t xml:space="preserve"> 75° 8'55.60"O</t>
  </si>
  <si>
    <t xml:space="preserve">  4°27'16.11"N</t>
  </si>
  <si>
    <t xml:space="preserve"> 75° 8'55.49"O</t>
  </si>
  <si>
    <t xml:space="preserve">  4°27'16.21"N</t>
  </si>
  <si>
    <t xml:space="preserve"> 75° 8'55.66"O</t>
  </si>
  <si>
    <t xml:space="preserve">  4°27'16.16"N</t>
  </si>
  <si>
    <t xml:space="preserve"> 75° 8'56.01"O</t>
  </si>
  <si>
    <t xml:space="preserve">  4°27'16.38"N</t>
  </si>
  <si>
    <t xml:space="preserve"> 75° 8'56.11"O</t>
  </si>
  <si>
    <t xml:space="preserve">  4°27'16.59"N</t>
  </si>
  <si>
    <t xml:space="preserve"> 75° 8'56.46"O</t>
  </si>
  <si>
    <t xml:space="preserve">  4°27'16.68"N</t>
  </si>
  <si>
    <t xml:space="preserve"> 75° 8'56.74"O</t>
  </si>
  <si>
    <t xml:space="preserve">  4°27'16.80"N</t>
  </si>
  <si>
    <t xml:space="preserve"> 75° 8'57.00"O</t>
  </si>
  <si>
    <t xml:space="preserve">  4°27'17.07"N</t>
  </si>
  <si>
    <t>Medianera</t>
  </si>
  <si>
    <t>AREA TOTAL CONTRUIDA m2</t>
  </si>
  <si>
    <t>Incompleta</t>
  </si>
  <si>
    <t>Autoconstruccion</t>
  </si>
  <si>
    <t>Alcantarillado, Acueducto, Electricidad, Gas, Telefono</t>
  </si>
  <si>
    <t>PARAMETROS SOCIOECONOMICO (habitanntes)</t>
  </si>
  <si>
    <t>Placa maciza de concreto</t>
  </si>
  <si>
    <t>Mamposteria no reforzada</t>
  </si>
  <si>
    <t>Estructura de madera y teja</t>
  </si>
  <si>
    <t>No realizadas</t>
  </si>
  <si>
    <t>Baja o inexistente</t>
  </si>
  <si>
    <t>baja o inexistente</t>
  </si>
  <si>
    <t>TIPOLOGIA ESTRUCTURAL DE LA EDIFICACION</t>
  </si>
  <si>
    <t>Deficiencias constructivas</t>
  </si>
  <si>
    <t>No presenta daños</t>
  </si>
  <si>
    <t>No se ha inundado</t>
  </si>
  <si>
    <t>Elementos verticales</t>
  </si>
  <si>
    <t>Elementos Horizontales</t>
  </si>
  <si>
    <t>Elementos no estructurales</t>
  </si>
  <si>
    <t>C</t>
  </si>
  <si>
    <t>Zapatas (No identificada)</t>
  </si>
  <si>
    <t>Zapatas (No identificada); placa de cimentacion</t>
  </si>
  <si>
    <t>No hay daños</t>
  </si>
  <si>
    <t>En construccion</t>
  </si>
  <si>
    <t>Entremado en madera</t>
  </si>
  <si>
    <t>Despues de 1998</t>
  </si>
  <si>
    <t>No se han reparado</t>
  </si>
  <si>
    <t>Acueducto, Electricidad</t>
  </si>
  <si>
    <t>Alta</t>
  </si>
  <si>
    <t>Movimiento en masa, Inundaciones</t>
  </si>
  <si>
    <t>Esquinera</t>
  </si>
  <si>
    <t>Movimiento en masa, Deficiencias constructivas</t>
  </si>
  <si>
    <t>Lamina colaborante</t>
  </si>
  <si>
    <t>Sistema combinado en concreto reforzado</t>
  </si>
  <si>
    <t>Estructura metalica y teja</t>
  </si>
  <si>
    <t>En altura</t>
  </si>
  <si>
    <t>B</t>
  </si>
  <si>
    <t>Acueducto, Electricidad, Gas, Telefono</t>
  </si>
  <si>
    <t>conexiones improvisadas</t>
  </si>
  <si>
    <t>Media</t>
  </si>
  <si>
    <t>Fisuras</t>
  </si>
  <si>
    <t>Acueducto, Gas, Telefono</t>
  </si>
  <si>
    <t>Asentamientos, Deficiencias constructivas</t>
  </si>
  <si>
    <t>Zapatas, Vigas corridas,No identificada; placa de cimentacion</t>
  </si>
  <si>
    <t>Mamposteria reforzada</t>
  </si>
  <si>
    <t>En extension</t>
  </si>
  <si>
    <t>Profundidad</t>
  </si>
  <si>
    <t>No habitada</t>
  </si>
  <si>
    <t>Placa aligerada del concreto</t>
  </si>
  <si>
    <t>Porticos en concreto reforzado</t>
  </si>
  <si>
    <t>No se han reparado, No hay daños</t>
  </si>
  <si>
    <t>Alcantarillado, Acueducto, Electricidad, Gas</t>
  </si>
  <si>
    <t>No identificada</t>
  </si>
  <si>
    <t>Completa</t>
  </si>
  <si>
    <t>Porticos en concreto reforzado, Mamposteria reforzada</t>
  </si>
  <si>
    <t>Humedas</t>
  </si>
  <si>
    <t>Desprendimiento de pintura</t>
  </si>
  <si>
    <t>Placa de cimentacion, No identificada</t>
  </si>
  <si>
    <t>Portico en concreto reforzado, Mamposteria reforzada</t>
  </si>
  <si>
    <t>no identificada</t>
  </si>
  <si>
    <t>Despues de 1999</t>
  </si>
  <si>
    <t>no se ha inundado</t>
  </si>
  <si>
    <t>Ninguna</t>
  </si>
  <si>
    <t>IRREGULARIDAD EN ALTURA</t>
  </si>
  <si>
    <t>Estructura de madera y teja (lote)</t>
  </si>
  <si>
    <t>Sin Informacion</t>
  </si>
  <si>
    <t>REPARACION DE DAÑOS ANTERIORES</t>
  </si>
  <si>
    <t>No Aplica</t>
  </si>
  <si>
    <t>MZ_G3</t>
  </si>
  <si>
    <t>No aplica</t>
  </si>
  <si>
    <t>conexiones Improvisadas</t>
  </si>
  <si>
    <t>N/A</t>
  </si>
  <si>
    <t>MZ_K1-</t>
  </si>
  <si>
    <t>MZ_G2-</t>
  </si>
  <si>
    <t>MZ_H1-</t>
  </si>
  <si>
    <t>MZ_J5-</t>
  </si>
  <si>
    <t>MZ_K4-</t>
  </si>
  <si>
    <t xml:space="preserve"> 75° 8'54.43"O</t>
  </si>
  <si>
    <t xml:space="preserve">  4°27'15.74"N</t>
  </si>
  <si>
    <t>Alcantarillado, Acueducto, Electricidad</t>
  </si>
  <si>
    <t>Portico en concreto reforzado</t>
  </si>
  <si>
    <t>No identificado</t>
  </si>
  <si>
    <t>Conexiones aguas servidas mpio</t>
  </si>
  <si>
    <t>No identificados</t>
  </si>
  <si>
    <t>75° 8'52.79"O</t>
  </si>
  <si>
    <t xml:space="preserve">  4°27'15.35"N</t>
  </si>
  <si>
    <t xml:space="preserve"> 75° 8'53.15"O</t>
  </si>
  <si>
    <t>Placa de cimentacion</t>
  </si>
  <si>
    <t xml:space="preserve"> 75° 8'54.07"O</t>
  </si>
  <si>
    <t xml:space="preserve">  4°27'14.38"N</t>
  </si>
  <si>
    <t>No hay edificacion</t>
  </si>
  <si>
    <t>No construido</t>
  </si>
  <si>
    <t xml:space="preserve"> 75° 8'54.66"O</t>
  </si>
  <si>
    <t xml:space="preserve">  4°27'14.50"N</t>
  </si>
  <si>
    <t>CLASIFICACION DE LA OBRA LINEAL</t>
  </si>
  <si>
    <t>DIRECCION</t>
  </si>
  <si>
    <t xml:space="preserve">NUMERO </t>
  </si>
  <si>
    <t>IDENTIFICACION DE LA EDIFICACION</t>
  </si>
  <si>
    <t>TIPO DE OBRA LINEAL</t>
  </si>
  <si>
    <t>REDES VIALES</t>
  </si>
  <si>
    <t>REDES DEL SERVICIO PUBLICO</t>
  </si>
  <si>
    <t>Red de Acueducto</t>
  </si>
  <si>
    <t>Red de Alcantarillado</t>
  </si>
  <si>
    <t>Red electrica</t>
  </si>
  <si>
    <t>Red vial</t>
  </si>
  <si>
    <t>Red de servicio publico</t>
  </si>
  <si>
    <t>Tipo de Arteria Vial</t>
  </si>
  <si>
    <t>Av principal</t>
  </si>
  <si>
    <t>LONGITUD (m)</t>
  </si>
  <si>
    <t xml:space="preserve"> 75° 8'46.37"W</t>
  </si>
  <si>
    <t xml:space="preserve">  4°27'14.35"N</t>
  </si>
  <si>
    <t>Arteria vial</t>
  </si>
  <si>
    <t>Acueducto, Alcantarillado, Gas, Electricidad, comunicacion</t>
  </si>
  <si>
    <t>Ancho (m)</t>
  </si>
  <si>
    <t>Intermedia (V6-16m)</t>
  </si>
  <si>
    <t>tipo de materialde la estructura</t>
  </si>
  <si>
    <t>Ancho de la berma</t>
  </si>
  <si>
    <t>Numero de calzadas</t>
  </si>
  <si>
    <t>Numero de carriles por calzada</t>
  </si>
  <si>
    <t xml:space="preserve">Ancho del carril </t>
  </si>
  <si>
    <t>Ancho de andenes</t>
  </si>
  <si>
    <t>Pavimento</t>
  </si>
  <si>
    <t>1-1..5</t>
  </si>
  <si>
    <t>No hay</t>
  </si>
  <si>
    <t>Via destapada</t>
  </si>
  <si>
    <t>Local&lt;18"
Diametro 8"
material PVC corrugado</t>
  </si>
  <si>
    <t xml:space="preserve">Local (1/2"-2")
Diametro: </t>
  </si>
  <si>
    <t>DIAGNOSTICO DE VULNERABILIDAD PREDIAL</t>
  </si>
  <si>
    <t>INDICADOR</t>
  </si>
  <si>
    <t>TOTAL</t>
  </si>
  <si>
    <t>Total de predios inspeccionados</t>
  </si>
  <si>
    <t>Área total construida</t>
  </si>
  <si>
    <t>Población expuesta</t>
  </si>
  <si>
    <t>Promedio de ocupación</t>
  </si>
  <si>
    <t>Sistema estructural</t>
  </si>
  <si>
    <t>Numero de predios</t>
  </si>
  <si>
    <t>Porcentaje (%)</t>
  </si>
  <si>
    <t>Mampostería no reforzada</t>
  </si>
  <si>
    <t>Mampostería reforzada</t>
  </si>
  <si>
    <t>Sistema combinado en concreto</t>
  </si>
  <si>
    <t>Total</t>
  </si>
  <si>
    <t>Estado de la Construcción</t>
  </si>
  <si>
    <t>N° Predios</t>
  </si>
  <si>
    <t>Calidad Predominante</t>
  </si>
  <si>
    <t>Autoconstrucción (85.7%)</t>
  </si>
  <si>
    <t>En construcción</t>
  </si>
  <si>
    <t>Autoconstrucción</t>
  </si>
  <si>
    <t>Terminada</t>
  </si>
  <si>
    <t xml:space="preserve">elementos verticales </t>
  </si>
  <si>
    <t>elementos horizontales</t>
  </si>
  <si>
    <t>Elementos Expuestos</t>
  </si>
  <si>
    <t xml:space="preserve">Moderado </t>
  </si>
  <si>
    <t>Zapatas</t>
  </si>
  <si>
    <t>Zapatas y placa de cimentacion</t>
  </si>
  <si>
    <t>Zapatas, vigas y placa de cimentacion</t>
  </si>
  <si>
    <t>valor</t>
  </si>
  <si>
    <t>SISTEMA ENTRE PISOS</t>
  </si>
  <si>
    <t>no aplica</t>
  </si>
  <si>
    <t>Placa mazisa de concreto</t>
  </si>
  <si>
    <t>entremado en madera</t>
  </si>
  <si>
    <t>MZ_A_INVASION_2</t>
  </si>
  <si>
    <t>MZ_A_INVASION_1</t>
  </si>
  <si>
    <t>75° 8'50.69"O</t>
  </si>
  <si>
    <t xml:space="preserve">  4°27'13.78"N</t>
  </si>
  <si>
    <t>Sin informacion</t>
  </si>
  <si>
    <t>Acueducto, Electricidad, Gas</t>
  </si>
  <si>
    <t>Valor</t>
  </si>
  <si>
    <t>VALOR</t>
  </si>
  <si>
    <t xml:space="preserve">Sin informacion </t>
  </si>
  <si>
    <t>Despues de 1998 (2004)</t>
  </si>
  <si>
    <t>Despues de 1998 (2017)</t>
  </si>
  <si>
    <t>Despues de 1998 (2003)</t>
  </si>
  <si>
    <t>Despues de 1998 (2002)</t>
  </si>
  <si>
    <t>ZONAS Y ESCENARIOS DE EXPOSICION</t>
  </si>
  <si>
    <t>ZONA 1</t>
  </si>
  <si>
    <t>ZONA 3</t>
  </si>
  <si>
    <t>MZ_H_LOTE</t>
  </si>
  <si>
    <t>Bajo o inexistente</t>
  </si>
  <si>
    <t>TIPOLOGIA ESTRUCTURAL</t>
  </si>
  <si>
    <t xml:space="preserve">Inundaciones </t>
  </si>
  <si>
    <t xml:space="preserve">Fisuras </t>
  </si>
  <si>
    <t>Conexiones de aguas servidas mpio</t>
  </si>
  <si>
    <t>Conexiones improvisadas</t>
  </si>
  <si>
    <t>PORCENTAJE</t>
  </si>
  <si>
    <t>Ttal</t>
  </si>
  <si>
    <t>D</t>
  </si>
  <si>
    <t>porcentaje</t>
  </si>
  <si>
    <t>STIP</t>
  </si>
  <si>
    <t>SALT</t>
  </si>
  <si>
    <t>SCON</t>
  </si>
  <si>
    <t>SED</t>
  </si>
  <si>
    <t>SE</t>
  </si>
  <si>
    <t>%</t>
  </si>
  <si>
    <t>CATEGORIA DE FRAGILIDAD</t>
  </si>
  <si>
    <t>Muy alta</t>
  </si>
  <si>
    <t>Media-Alta</t>
  </si>
  <si>
    <t>Muy Alta</t>
  </si>
  <si>
    <t xml:space="preserve">Alta </t>
  </si>
  <si>
    <t>Media Alta</t>
  </si>
  <si>
    <t xml:space="preserve">Mediia tension: 5001
diamtro de poste: </t>
  </si>
  <si>
    <t>FRAGILIDAD EDIFICACIONES</t>
  </si>
  <si>
    <t>FRAGILIDAD PERSONAS</t>
  </si>
  <si>
    <t>SPER</t>
  </si>
  <si>
    <t>SEteorico</t>
  </si>
  <si>
    <t>Predio</t>
  </si>
  <si>
    <t>Seteotico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</si>
</sst>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1" fillId="3" borderId="8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14" xfId="0" applyBorder="1" applyAlignment="1">
      <alignment horizontal="center" wrapText="1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/>
    </xf>
    <xf numFmtId="0" fontId="1" fillId="0" borderId="0" xfId="0" applyFont="1"/>
    <xf numFmtId="0" fontId="3" fillId="0" borderId="1" xfId="0" applyFont="1" applyBorder="1" applyAlignment="1">
      <alignment horizontal="justify" vertical="center" wrapText="1"/>
    </xf>
    <xf numFmtId="0" fontId="1" fillId="5" borderId="1" xfId="0" applyFont="1" applyFill="1" applyBorder="1"/>
    <xf numFmtId="0" fontId="3" fillId="0" borderId="0" xfId="0" applyFont="1" applyAlignment="1">
      <alignment horizontal="justify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8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/>
    </xf>
    <xf numFmtId="0" fontId="3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3" fillId="0" borderId="23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164" fontId="0" fillId="0" borderId="0" xfId="0" applyNumberFormat="1" applyAlignment="1">
      <alignment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DIAGNOSTICA</a:t>
            </a:r>
            <a:r>
              <a:rPr lang="es-CO" baseline="0"/>
              <a:t> DE VULNERABILIDAD PREDIAL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Hoja3!$B$3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DA0-4680-A411-43D58B01A34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DA0-4680-A411-43D58B01A34B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DA0-4680-A411-43D58B01A34B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DA0-4680-A411-43D58B01A34B}"/>
              </c:ext>
            </c:extLst>
          </c:dPt>
          <c:cat>
            <c:strRef>
              <c:f>Hoja3!$A$4:$A$7</c:f>
              <c:strCache>
                <c:ptCount val="4"/>
                <c:pt idx="0">
                  <c:v>Total de predios inspeccionados</c:v>
                </c:pt>
                <c:pt idx="1">
                  <c:v>Área total construida</c:v>
                </c:pt>
                <c:pt idx="2">
                  <c:v>Población expuesta</c:v>
                </c:pt>
                <c:pt idx="3">
                  <c:v>Promedio de ocupación</c:v>
                </c:pt>
              </c:strCache>
            </c:strRef>
          </c:cat>
          <c:val>
            <c:numRef>
              <c:f>Hoja3!$B$4:$B$7</c:f>
              <c:numCache>
                <c:formatCode>General</c:formatCode>
                <c:ptCount val="4"/>
                <c:pt idx="0">
                  <c:v>36</c:v>
                </c:pt>
                <c:pt idx="1">
                  <c:v>2257</c:v>
                </c:pt>
                <c:pt idx="2">
                  <c:v>101</c:v>
                </c:pt>
                <c:pt idx="3">
                  <c:v>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D1-44B2-9B7C-BEF75F082B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sistema</a:t>
            </a:r>
            <a:r>
              <a:rPr lang="es-CO" baseline="0"/>
              <a:t> estructural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Hoja3!$B$12</c:f>
              <c:strCache>
                <c:ptCount val="1"/>
                <c:pt idx="0">
                  <c:v>Numero de predios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Hoja3!$A$13:$A$15</c:f>
              <c:strCache>
                <c:ptCount val="3"/>
                <c:pt idx="0">
                  <c:v>Mampostería no reforzada</c:v>
                </c:pt>
                <c:pt idx="1">
                  <c:v>Mampostería reforzada</c:v>
                </c:pt>
                <c:pt idx="2">
                  <c:v>Sistema combinado en concreto</c:v>
                </c:pt>
              </c:strCache>
            </c:strRef>
          </c:cat>
          <c:val>
            <c:numRef>
              <c:f>Hoja3!$B$13:$B$15</c:f>
              <c:numCache>
                <c:formatCode>General</c:formatCode>
                <c:ptCount val="3"/>
                <c:pt idx="0">
                  <c:v>31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88-4CD1-98AE-C2896F87A180}"/>
            </c:ext>
          </c:extLst>
        </c:ser>
        <c:ser>
          <c:idx val="1"/>
          <c:order val="1"/>
          <c:tx>
            <c:strRef>
              <c:f>Hoja3!$C$12</c:f>
              <c:strCache>
                <c:ptCount val="1"/>
                <c:pt idx="0">
                  <c:v>Porcentaje (%)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Hoja3!$A$13:$A$15</c:f>
              <c:strCache>
                <c:ptCount val="3"/>
                <c:pt idx="0">
                  <c:v>Mampostería no reforzada</c:v>
                </c:pt>
                <c:pt idx="1">
                  <c:v>Mampostería reforzada</c:v>
                </c:pt>
                <c:pt idx="2">
                  <c:v>Sistema combinado en concreto</c:v>
                </c:pt>
              </c:strCache>
            </c:strRef>
          </c:cat>
          <c:val>
            <c:numRef>
              <c:f>Hoja3!$C$13:$C$15</c:f>
              <c:numCache>
                <c:formatCode>General</c:formatCode>
                <c:ptCount val="3"/>
                <c:pt idx="0">
                  <c:v>88.6</c:v>
                </c:pt>
                <c:pt idx="1">
                  <c:v>8.6</c:v>
                </c:pt>
                <c:pt idx="2">
                  <c:v>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88-4CD1-98AE-C2896F87A18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192586704"/>
        <c:axId val="1193890824"/>
      </c:barChart>
      <c:catAx>
        <c:axId val="119258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93890824"/>
        <c:crosses val="autoZero"/>
        <c:auto val="1"/>
        <c:lblAlgn val="ctr"/>
        <c:lblOffset val="100"/>
        <c:noMultiLvlLbl val="0"/>
      </c:catAx>
      <c:valAx>
        <c:axId val="1193890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9258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ESTADO</a:t>
            </a:r>
            <a:r>
              <a:rPr lang="es-CO" baseline="0"/>
              <a:t> DE LA CONSTRUCCION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Hoja3!$B$20</c:f>
              <c:strCache>
                <c:ptCount val="1"/>
                <c:pt idx="0">
                  <c:v>N° Predios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680-48E0-A3DB-A87BC4E091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680-48E0-A3DB-A87BC4E091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680-48E0-A3DB-A87BC4E091DB}"/>
              </c:ext>
            </c:extLst>
          </c:dPt>
          <c:cat>
            <c:strRef>
              <c:f>Hoja3!$A$21:$A$23</c:f>
              <c:strCache>
                <c:ptCount val="3"/>
                <c:pt idx="0">
                  <c:v>Incompleta</c:v>
                </c:pt>
                <c:pt idx="1">
                  <c:v>En construcción</c:v>
                </c:pt>
                <c:pt idx="2">
                  <c:v>Terminada</c:v>
                </c:pt>
              </c:strCache>
            </c:strRef>
          </c:cat>
          <c:val>
            <c:numRef>
              <c:f>Hoja3!$B$21:$B$23</c:f>
              <c:numCache>
                <c:formatCode>General</c:formatCode>
                <c:ptCount val="3"/>
                <c:pt idx="0">
                  <c:v>31</c:v>
                </c:pt>
                <c:pt idx="1">
                  <c:v>4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09-495A-9282-4792A6123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ELEMENTOS</a:t>
            </a:r>
            <a:r>
              <a:rPr lang="es-CO" baseline="0"/>
              <a:t> EXPUESTO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Hoja3!$A$36</c:f>
              <c:strCache>
                <c:ptCount val="1"/>
                <c:pt idx="0">
                  <c:v>elementos verticales 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Hoja3!$B$35:$F$35</c:f>
              <c:strCache>
                <c:ptCount val="5"/>
                <c:pt idx="0">
                  <c:v>Ninguno</c:v>
                </c:pt>
                <c:pt idx="1">
                  <c:v>Leve</c:v>
                </c:pt>
                <c:pt idx="2">
                  <c:v>Moderado </c:v>
                </c:pt>
                <c:pt idx="3">
                  <c:v>No identificado</c:v>
                </c:pt>
                <c:pt idx="4">
                  <c:v>N/A</c:v>
                </c:pt>
              </c:strCache>
            </c:strRef>
          </c:cat>
          <c:val>
            <c:numRef>
              <c:f>Hoja3!$B$36:$F$36</c:f>
              <c:numCache>
                <c:formatCode>General</c:formatCode>
                <c:ptCount val="5"/>
                <c:pt idx="0">
                  <c:v>26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86-4189-9EAC-8E408124CAA0}"/>
            </c:ext>
          </c:extLst>
        </c:ser>
        <c:ser>
          <c:idx val="1"/>
          <c:order val="1"/>
          <c:tx>
            <c:strRef>
              <c:f>Hoja3!$A$37</c:f>
              <c:strCache>
                <c:ptCount val="1"/>
                <c:pt idx="0">
                  <c:v>elementos horizontales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Hoja3!$B$35:$F$35</c:f>
              <c:strCache>
                <c:ptCount val="5"/>
                <c:pt idx="0">
                  <c:v>Ninguno</c:v>
                </c:pt>
                <c:pt idx="1">
                  <c:v>Leve</c:v>
                </c:pt>
                <c:pt idx="2">
                  <c:v>Moderado </c:v>
                </c:pt>
                <c:pt idx="3">
                  <c:v>No identificado</c:v>
                </c:pt>
                <c:pt idx="4">
                  <c:v>N/A</c:v>
                </c:pt>
              </c:strCache>
            </c:strRef>
          </c:cat>
          <c:val>
            <c:numRef>
              <c:f>Hoja3!$B$37:$F$37</c:f>
              <c:numCache>
                <c:formatCode>General</c:formatCode>
                <c:ptCount val="5"/>
                <c:pt idx="0">
                  <c:v>30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86-4189-9EAC-8E408124CAA0}"/>
            </c:ext>
          </c:extLst>
        </c:ser>
        <c:ser>
          <c:idx val="2"/>
          <c:order val="2"/>
          <c:tx>
            <c:strRef>
              <c:f>Hoja3!$A$38</c:f>
              <c:strCache>
                <c:ptCount val="1"/>
                <c:pt idx="0">
                  <c:v>Elementos no estructurales</c:v>
                </c:pt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Hoja3!$B$35:$F$35</c:f>
              <c:strCache>
                <c:ptCount val="5"/>
                <c:pt idx="0">
                  <c:v>Ninguno</c:v>
                </c:pt>
                <c:pt idx="1">
                  <c:v>Leve</c:v>
                </c:pt>
                <c:pt idx="2">
                  <c:v>Moderado </c:v>
                </c:pt>
                <c:pt idx="3">
                  <c:v>No identificado</c:v>
                </c:pt>
                <c:pt idx="4">
                  <c:v>N/A</c:v>
                </c:pt>
              </c:strCache>
            </c:strRef>
          </c:cat>
          <c:val>
            <c:numRef>
              <c:f>Hoja3!$B$38:$F$38</c:f>
              <c:numCache>
                <c:formatCode>General</c:formatCode>
                <c:ptCount val="5"/>
                <c:pt idx="0">
                  <c:v>31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86-4189-9EAC-8E408124C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8296984"/>
        <c:axId val="1188297344"/>
      </c:barChart>
      <c:catAx>
        <c:axId val="11882969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88297344"/>
        <c:crosses val="autoZero"/>
        <c:auto val="1"/>
        <c:lblAlgn val="ctr"/>
        <c:lblOffset val="100"/>
        <c:noMultiLvlLbl val="0"/>
      </c:catAx>
      <c:valAx>
        <c:axId val="118829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88296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CIMENTACION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Hoja3!$B$26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1B-4220-9879-804E7CFC246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81B-4220-9879-804E7CFC246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81B-4220-9879-804E7CFC246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81B-4220-9879-804E7CFC246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81B-4220-9879-804E7CFC246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81B-4220-9879-804E7CFC2462}"/>
              </c:ext>
            </c:extLst>
          </c:dPt>
          <c:cat>
            <c:strRef>
              <c:f>Hoja3!$A$27:$A$32</c:f>
              <c:strCache>
                <c:ptCount val="6"/>
                <c:pt idx="0">
                  <c:v>Zapatas</c:v>
                </c:pt>
                <c:pt idx="1">
                  <c:v>Zapatas y placa de cimentacion</c:v>
                </c:pt>
                <c:pt idx="2">
                  <c:v>Placa de cimentacion</c:v>
                </c:pt>
                <c:pt idx="3">
                  <c:v>Zapatas, vigas y placa de cimentacion</c:v>
                </c:pt>
                <c:pt idx="4">
                  <c:v>No identificado</c:v>
                </c:pt>
                <c:pt idx="5">
                  <c:v>N/A</c:v>
                </c:pt>
              </c:strCache>
            </c:strRef>
          </c:cat>
          <c:val>
            <c:numRef>
              <c:f>Hoja3!$B$27:$B$32</c:f>
              <c:numCache>
                <c:formatCode>General</c:formatCode>
                <c:ptCount val="6"/>
                <c:pt idx="0">
                  <c:v>23</c:v>
                </c:pt>
                <c:pt idx="1">
                  <c:v>13</c:v>
                </c:pt>
                <c:pt idx="2">
                  <c:v>1</c:v>
                </c:pt>
                <c:pt idx="3">
                  <c:v>9</c:v>
                </c:pt>
                <c:pt idx="4">
                  <c:v>10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9-46BF-A26D-2B8AF490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SISTEMA</a:t>
            </a:r>
            <a:r>
              <a:rPr lang="es-CO" baseline="0"/>
              <a:t> ENTREPISOS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Hoja3!$B$40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39D-4E17-937B-EBD808EC3F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39D-4E17-937B-EBD808EC3F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39D-4E17-937B-EBD808EC3F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39D-4E17-937B-EBD808EC3F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39D-4E17-937B-EBD808EC3FA8}"/>
              </c:ext>
            </c:extLst>
          </c:dPt>
          <c:cat>
            <c:strRef>
              <c:f>Hoja3!$A$41:$A$45</c:f>
              <c:strCache>
                <c:ptCount val="5"/>
                <c:pt idx="0">
                  <c:v>no aplica</c:v>
                </c:pt>
                <c:pt idx="1">
                  <c:v>Placa mazisa de concreto</c:v>
                </c:pt>
                <c:pt idx="2">
                  <c:v>entremado en madera</c:v>
                </c:pt>
                <c:pt idx="3">
                  <c:v>No identificado</c:v>
                </c:pt>
                <c:pt idx="4">
                  <c:v>N/A</c:v>
                </c:pt>
              </c:strCache>
            </c:strRef>
          </c:cat>
          <c:val>
            <c:numRef>
              <c:f>Hoja3!$B$41:$B$45</c:f>
              <c:numCache>
                <c:formatCode>General</c:formatCode>
                <c:ptCount val="5"/>
                <c:pt idx="0">
                  <c:v>19</c:v>
                </c:pt>
                <c:pt idx="1">
                  <c:v>12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D5-41D8-9F1C-EEF84BF08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FECHA</a:t>
            </a:r>
            <a:r>
              <a:rPr lang="es-CO" baseline="0"/>
              <a:t> DE CONSTRUCCION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Hoja3!$B$48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0EC-4AD5-9CD3-D89EDFCD59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0EC-4AD5-9CD3-D89EDFCD59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0EC-4AD5-9CD3-D89EDFCD590C}"/>
              </c:ext>
            </c:extLst>
          </c:dPt>
          <c:cat>
            <c:strRef>
              <c:f>Hoja3!$A$49:$A$51</c:f>
              <c:strCache>
                <c:ptCount val="3"/>
                <c:pt idx="0">
                  <c:v>Despues de 1999</c:v>
                </c:pt>
                <c:pt idx="1">
                  <c:v>Sin informacion </c:v>
                </c:pt>
                <c:pt idx="2">
                  <c:v>N/A</c:v>
                </c:pt>
              </c:strCache>
            </c:strRef>
          </c:cat>
          <c:val>
            <c:numRef>
              <c:f>Hoja3!$B$49:$B$51</c:f>
              <c:numCache>
                <c:formatCode>General</c:formatCode>
                <c:ptCount val="3"/>
                <c:pt idx="0">
                  <c:v>31</c:v>
                </c:pt>
                <c:pt idx="1">
                  <c:v>4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65-4A10-9697-51CD964E5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ZONAS</a:t>
            </a:r>
            <a:r>
              <a:rPr lang="en-US" baseline="0"/>
              <a:t> Y ESCENARIOS DE EXPOSICION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Hoja3!$B$54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Hoja3!$A$55:$A$57</c:f>
              <c:strCache>
                <c:ptCount val="3"/>
                <c:pt idx="0">
                  <c:v>ZONA 1</c:v>
                </c:pt>
                <c:pt idx="1">
                  <c:v>ZONA 3</c:v>
                </c:pt>
                <c:pt idx="2">
                  <c:v>N/A</c:v>
                </c:pt>
              </c:strCache>
            </c:strRef>
          </c:cat>
          <c:val>
            <c:numRef>
              <c:f>Hoja3!$B$55:$B$57</c:f>
              <c:numCache>
                <c:formatCode>General</c:formatCode>
                <c:ptCount val="3"/>
                <c:pt idx="0">
                  <c:v>27</c:v>
                </c:pt>
                <c:pt idx="1">
                  <c:v>8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7E-43CB-A7A1-2DB3156B4BA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28692720"/>
        <c:axId val="528693080"/>
      </c:barChart>
      <c:catAx>
        <c:axId val="528692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28693080"/>
        <c:crosses val="autoZero"/>
        <c:auto val="1"/>
        <c:lblAlgn val="ctr"/>
        <c:lblOffset val="100"/>
        <c:noMultiLvlLbl val="0"/>
      </c:catAx>
      <c:valAx>
        <c:axId val="528693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28692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IRREGULARIDADES</a:t>
            </a:r>
            <a:r>
              <a:rPr lang="en-US" baseline="0"/>
              <a:t> EN PLANTA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Hoja3!$B$60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183-4846-8F0F-73F839D6A5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183-4846-8F0F-73F839D6A5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183-4846-8F0F-73F839D6A5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183-4846-8F0F-73F839D6A5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Hoja3!$A$61:$A$64</c:f>
              <c:strCache>
                <c:ptCount val="4"/>
                <c:pt idx="0">
                  <c:v>Alta</c:v>
                </c:pt>
                <c:pt idx="1">
                  <c:v>Bajo o inexistente</c:v>
                </c:pt>
                <c:pt idx="2">
                  <c:v>Media</c:v>
                </c:pt>
                <c:pt idx="3">
                  <c:v>N/A</c:v>
                </c:pt>
              </c:strCache>
            </c:strRef>
          </c:cat>
          <c:val>
            <c:numRef>
              <c:f>Hoja3!$B$61:$B$64</c:f>
              <c:numCache>
                <c:formatCode>General</c:formatCode>
                <c:ptCount val="4"/>
                <c:pt idx="0">
                  <c:v>7</c:v>
                </c:pt>
                <c:pt idx="1">
                  <c:v>22</c:v>
                </c:pt>
                <c:pt idx="2">
                  <c:v>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CA-4A6C-A71F-2B1276ED593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IRREGULARIDADES</a:t>
            </a:r>
            <a:r>
              <a:rPr lang="es-CO" baseline="0"/>
              <a:t> EN ALTURA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Hoja3!$B$67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8BE-483A-837F-CA22CDC9CA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8BE-483A-837F-CA22CDC9CA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8BE-483A-837F-CA22CDC9CA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8BE-483A-837F-CA22CDC9CA49}"/>
              </c:ext>
            </c:extLst>
          </c:dPt>
          <c:cat>
            <c:strRef>
              <c:f>Hoja3!$A$68:$A$71</c:f>
              <c:strCache>
                <c:ptCount val="4"/>
                <c:pt idx="0">
                  <c:v>Alta</c:v>
                </c:pt>
                <c:pt idx="1">
                  <c:v>Bajo o inexistente</c:v>
                </c:pt>
                <c:pt idx="2">
                  <c:v>Media</c:v>
                </c:pt>
                <c:pt idx="3">
                  <c:v>N/A</c:v>
                </c:pt>
              </c:strCache>
            </c:strRef>
          </c:cat>
          <c:val>
            <c:numRef>
              <c:f>Hoja3!$B$68:$B$71</c:f>
              <c:numCache>
                <c:formatCode>General</c:formatCode>
                <c:ptCount val="4"/>
                <c:pt idx="0">
                  <c:v>7</c:v>
                </c:pt>
                <c:pt idx="1">
                  <c:v>23</c:v>
                </c:pt>
                <c:pt idx="2">
                  <c:v>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88-4512-8E57-B0342345F7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TIPOLOGIA</a:t>
            </a:r>
            <a:r>
              <a:rPr lang="es-CO" baseline="0"/>
              <a:t> ESTRUCTURAL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Hoja3!$B$74</c:f>
              <c:strCache>
                <c:ptCount val="1"/>
                <c:pt idx="0">
                  <c:v>VALOR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F83-4B56-A135-E87FD8C76DC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83-4B56-A135-E87FD8C76DC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83-4B56-A135-E87FD8C76DC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3E3-4F56-99E5-4FAB17D077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Hoja3!$A$75:$A$78</c:f>
              <c:strCache>
                <c:ptCount val="4"/>
                <c:pt idx="0">
                  <c:v>B</c:v>
                </c:pt>
                <c:pt idx="1">
                  <c:v>C</c:v>
                </c:pt>
                <c:pt idx="2">
                  <c:v>D</c:v>
                </c:pt>
                <c:pt idx="3">
                  <c:v>N/A</c:v>
                </c:pt>
              </c:strCache>
            </c:strRef>
          </c:cat>
          <c:val>
            <c:numRef>
              <c:f>Hoja3!$B$75:$B$78</c:f>
              <c:numCache>
                <c:formatCode>General</c:formatCode>
                <c:ptCount val="4"/>
                <c:pt idx="0">
                  <c:v>2</c:v>
                </c:pt>
                <c:pt idx="1">
                  <c:v>17</c:v>
                </c:pt>
                <c:pt idx="2">
                  <c:v>11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D1-4B36-9850-2A5253CFE9C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CAUSA</a:t>
            </a:r>
            <a:r>
              <a:rPr lang="en-US" baseline="0"/>
              <a:t> DE DAÑOS PRESENTES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Hoja3!$B$81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86-4BBA-A74B-A1F1F50C928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86-4BBA-A74B-A1F1F50C928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86-4BBA-A74B-A1F1F50C928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86-4BBA-A74B-A1F1F50C928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86-4BBA-A74B-A1F1F50C928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586-4BBA-A74B-A1F1F50C928B}"/>
              </c:ext>
            </c:extLst>
          </c:dPt>
          <c:cat>
            <c:strRef>
              <c:f>Hoja3!$A$82:$A$87</c:f>
              <c:strCache>
                <c:ptCount val="6"/>
                <c:pt idx="0">
                  <c:v>Asentamientos, Deficiencias constructivas</c:v>
                </c:pt>
                <c:pt idx="1">
                  <c:v>Deficiencias constructivas</c:v>
                </c:pt>
                <c:pt idx="2">
                  <c:v>Inundaciones </c:v>
                </c:pt>
                <c:pt idx="3">
                  <c:v>Movimiento en masa, Deficiencias constructivas</c:v>
                </c:pt>
                <c:pt idx="4">
                  <c:v>Movimiento en masa, Inundaciones</c:v>
                </c:pt>
                <c:pt idx="5">
                  <c:v>N/A</c:v>
                </c:pt>
              </c:strCache>
            </c:strRef>
          </c:cat>
          <c:val>
            <c:numRef>
              <c:f>Hoja3!$B$82:$B$87</c:f>
              <c:numCache>
                <c:formatCode>General</c:formatCode>
                <c:ptCount val="6"/>
                <c:pt idx="0">
                  <c:v>1</c:v>
                </c:pt>
                <c:pt idx="1">
                  <c:v>12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05-481B-A4FE-36507B3BB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CONSECUENCIAS PRESENTES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Hoja3!$B$90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DAB-4079-9D1E-E6AB8F2C7AF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DAB-4079-9D1E-E6AB8F2C7AF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DAB-4079-9D1E-E6AB8F2C7AF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DAB-4079-9D1E-E6AB8F2C7AF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DAB-4079-9D1E-E6AB8F2C7AF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DAB-4079-9D1E-E6AB8F2C7AF4}"/>
              </c:ext>
            </c:extLst>
          </c:dPt>
          <c:cat>
            <c:strRef>
              <c:f>Hoja3!$A$91:$A$96</c:f>
              <c:strCache>
                <c:ptCount val="6"/>
                <c:pt idx="0">
                  <c:v>Desprendimiento de pintura</c:v>
                </c:pt>
                <c:pt idx="1">
                  <c:v>Fisuras </c:v>
                </c:pt>
                <c:pt idx="2">
                  <c:v>Humedas</c:v>
                </c:pt>
                <c:pt idx="3">
                  <c:v>N/A</c:v>
                </c:pt>
                <c:pt idx="4">
                  <c:v>No identificado</c:v>
                </c:pt>
                <c:pt idx="5">
                  <c:v>No presenta daños</c:v>
                </c:pt>
              </c:strCache>
            </c:strRef>
          </c:cat>
          <c:val>
            <c:numRef>
              <c:f>Hoja3!$B$91:$B$96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5</c:v>
                </c:pt>
                <c:pt idx="5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25-4D4D-9DB8-31CE182FB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CONSECUENCIAS</a:t>
            </a:r>
            <a:r>
              <a:rPr lang="en-US" baseline="0"/>
              <a:t> PRESENTES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Hoja3!$B$90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98D-4990-9B89-740D1DB392A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98D-4990-9B89-740D1DB392A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98D-4990-9B89-740D1DB392A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98D-4990-9B89-740D1DB392A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98D-4990-9B89-740D1DB392A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98D-4990-9B89-740D1DB392A9}"/>
              </c:ext>
            </c:extLst>
          </c:dPt>
          <c:cat>
            <c:strRef>
              <c:f>Hoja3!$A$91:$A$96</c:f>
              <c:strCache>
                <c:ptCount val="6"/>
                <c:pt idx="0">
                  <c:v>Desprendimiento de pintura</c:v>
                </c:pt>
                <c:pt idx="1">
                  <c:v>Fisuras </c:v>
                </c:pt>
                <c:pt idx="2">
                  <c:v>Humedas</c:v>
                </c:pt>
                <c:pt idx="3">
                  <c:v>N/A</c:v>
                </c:pt>
                <c:pt idx="4">
                  <c:v>No identificado</c:v>
                </c:pt>
                <c:pt idx="5">
                  <c:v>No presenta daños</c:v>
                </c:pt>
              </c:strCache>
            </c:strRef>
          </c:cat>
          <c:val>
            <c:numRef>
              <c:f>Hoja3!$B$91:$B$96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5</c:v>
                </c:pt>
                <c:pt idx="5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81-4FF3-B192-8D5E424F16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Hoja3!$B$99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324-4709-AF7A-DA7318A802F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324-4709-AF7A-DA7318A802F1}"/>
              </c:ext>
            </c:extLst>
          </c:dPt>
          <c:cat>
            <c:strRef>
              <c:f>Hoja3!$A$100:$A$101</c:f>
              <c:strCache>
                <c:ptCount val="2"/>
                <c:pt idx="0">
                  <c:v>N/A</c:v>
                </c:pt>
                <c:pt idx="1">
                  <c:v>No se ha inundado</c:v>
                </c:pt>
              </c:strCache>
            </c:strRef>
          </c:cat>
          <c:val>
            <c:numRef>
              <c:f>Hoja3!$B$100:$B$101</c:f>
              <c:numCache>
                <c:formatCode>General</c:formatCode>
                <c:ptCount val="2"/>
                <c:pt idx="0">
                  <c:v>1</c:v>
                </c:pt>
                <c:pt idx="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96-46D0-9C86-03C8AB5C0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Hoja3!$B$104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B40-42D9-9D48-0387110FEDC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B40-42D9-9D48-0387110FEDC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B40-42D9-9D48-0387110FEDC6}"/>
              </c:ext>
            </c:extLst>
          </c:dPt>
          <c:cat>
            <c:strRef>
              <c:f>Hoja3!$A$105:$A$107</c:f>
              <c:strCache>
                <c:ptCount val="3"/>
                <c:pt idx="0">
                  <c:v>Conexiones de aguas servidas mpio</c:v>
                </c:pt>
                <c:pt idx="1">
                  <c:v>Conexiones improvisadas</c:v>
                </c:pt>
                <c:pt idx="2">
                  <c:v>N/A</c:v>
                </c:pt>
              </c:strCache>
            </c:strRef>
          </c:cat>
          <c:val>
            <c:numRef>
              <c:f>Hoja3!$B$105:$B$107</c:f>
              <c:numCache>
                <c:formatCode>General</c:formatCode>
                <c:ptCount val="3"/>
                <c:pt idx="0">
                  <c:v>27</c:v>
                </c:pt>
                <c:pt idx="1">
                  <c:v>8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79-4638-B9EB-0EE66987B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CATEGORIA</a:t>
            </a:r>
            <a:r>
              <a:rPr lang="es-CO" baseline="0"/>
              <a:t> DE FRAGILIDAD ESTRUCTURAL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3A-498F-9D71-2A0F23C2804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3A-498F-9D71-2A0F23C2804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23A-498F-9D71-2A0F23C2804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23A-498F-9D71-2A0F23C28047}"/>
              </c:ext>
            </c:extLst>
          </c:dPt>
          <c:cat>
            <c:strRef>
              <c:f>Hoja3!$T$3:$T$6</c:f>
              <c:strCache>
                <c:ptCount val="4"/>
                <c:pt idx="0">
                  <c:v>Muy Alta</c:v>
                </c:pt>
                <c:pt idx="1">
                  <c:v>Alta </c:v>
                </c:pt>
                <c:pt idx="2">
                  <c:v>Media</c:v>
                </c:pt>
                <c:pt idx="3">
                  <c:v>Media Alta</c:v>
                </c:pt>
              </c:strCache>
            </c:strRef>
          </c:cat>
          <c:val>
            <c:numRef>
              <c:f>Hoja3!$U$3:$U$6</c:f>
              <c:numCache>
                <c:formatCode>General</c:formatCode>
                <c:ptCount val="4"/>
                <c:pt idx="0">
                  <c:v>10</c:v>
                </c:pt>
                <c:pt idx="1">
                  <c:v>17</c:v>
                </c:pt>
                <c:pt idx="2">
                  <c:v>4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13-4D83-8DC8-B601E82D4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Hoja1!$D$1</c:f>
              <c:strCache>
                <c:ptCount val="1"/>
                <c:pt idx="0">
                  <c:v>SPER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Hoja1!$C$2:$C$37</c:f>
              <c:numCache>
                <c:formatCode>0.000</c:formatCode>
                <c:ptCount val="36"/>
                <c:pt idx="0">
                  <c:v>0.89312499999999995</c:v>
                </c:pt>
                <c:pt idx="1">
                  <c:v>0.85749999999999993</c:v>
                </c:pt>
                <c:pt idx="2">
                  <c:v>0.89312499999999995</c:v>
                </c:pt>
                <c:pt idx="3">
                  <c:v>0.89312499999999995</c:v>
                </c:pt>
                <c:pt idx="4">
                  <c:v>0.89312499999999995</c:v>
                </c:pt>
                <c:pt idx="5">
                  <c:v>0.92874999999999996</c:v>
                </c:pt>
                <c:pt idx="6">
                  <c:v>0.97</c:v>
                </c:pt>
                <c:pt idx="7">
                  <c:v>0.89312499999999995</c:v>
                </c:pt>
                <c:pt idx="8">
                  <c:v>0.80400000000000005</c:v>
                </c:pt>
                <c:pt idx="9">
                  <c:v>0.92874999999999996</c:v>
                </c:pt>
                <c:pt idx="10">
                  <c:v>0.85037499999999999</c:v>
                </c:pt>
                <c:pt idx="11">
                  <c:v>0.85037499999999999</c:v>
                </c:pt>
                <c:pt idx="12">
                  <c:v>0.66749999999999998</c:v>
                </c:pt>
                <c:pt idx="13">
                  <c:v>0.66749999999999998</c:v>
                </c:pt>
                <c:pt idx="14">
                  <c:v>0.66749999999999998</c:v>
                </c:pt>
                <c:pt idx="15">
                  <c:v>0.9</c:v>
                </c:pt>
                <c:pt idx="16">
                  <c:v>0.76249999999999996</c:v>
                </c:pt>
                <c:pt idx="17">
                  <c:v>0.76249999999999996</c:v>
                </c:pt>
                <c:pt idx="18">
                  <c:v>0.76249999999999996</c:v>
                </c:pt>
                <c:pt idx="19">
                  <c:v>0.94</c:v>
                </c:pt>
                <c:pt idx="20">
                  <c:v>0.92500000000000004</c:v>
                </c:pt>
                <c:pt idx="21">
                  <c:v>0.89500000000000002</c:v>
                </c:pt>
                <c:pt idx="22">
                  <c:v>0.95499999999999996</c:v>
                </c:pt>
                <c:pt idx="23">
                  <c:v>0.76249999999999996</c:v>
                </c:pt>
                <c:pt idx="24">
                  <c:v>0.76249999999999996</c:v>
                </c:pt>
                <c:pt idx="25">
                  <c:v>0.9</c:v>
                </c:pt>
                <c:pt idx="26">
                  <c:v>0.82187500000000002</c:v>
                </c:pt>
                <c:pt idx="27">
                  <c:v>0.67937500000000006</c:v>
                </c:pt>
                <c:pt idx="28">
                  <c:v>0.89500000000000002</c:v>
                </c:pt>
                <c:pt idx="29">
                  <c:v>0.89500000000000002</c:v>
                </c:pt>
                <c:pt idx="30">
                  <c:v>0.85299999999999998</c:v>
                </c:pt>
                <c:pt idx="31">
                  <c:v>0.89312499999999995</c:v>
                </c:pt>
                <c:pt idx="32">
                  <c:v>0.98124999999999996</c:v>
                </c:pt>
                <c:pt idx="33">
                  <c:v>0.89312499999999995</c:v>
                </c:pt>
                <c:pt idx="34">
                  <c:v>0.95499999999999996</c:v>
                </c:pt>
                <c:pt idx="35">
                  <c:v>0.89312499999999995</c:v>
                </c:pt>
              </c:numCache>
            </c:numRef>
          </c:xVal>
          <c:yVal>
            <c:numRef>
              <c:f>Hoja1!$D$2:$D$37</c:f>
              <c:numCache>
                <c:formatCode>0.000</c:formatCode>
                <c:ptCount val="36"/>
                <c:pt idx="0">
                  <c:v>0.69649689975213103</c:v>
                </c:pt>
                <c:pt idx="1">
                  <c:v>0.61143347488958655</c:v>
                </c:pt>
                <c:pt idx="2">
                  <c:v>0.69649689975213147</c:v>
                </c:pt>
                <c:pt idx="3">
                  <c:v>0.69649689975213147</c:v>
                </c:pt>
                <c:pt idx="4">
                  <c:v>0.69649689975213147</c:v>
                </c:pt>
                <c:pt idx="5">
                  <c:v>0.7893620547009822</c:v>
                </c:pt>
                <c:pt idx="6">
                  <c:v>0.90713004130020858</c:v>
                </c:pt>
                <c:pt idx="7">
                  <c:v>0.69649689975213147</c:v>
                </c:pt>
                <c:pt idx="8">
                  <c:v>0.49753009518937347</c:v>
                </c:pt>
                <c:pt idx="9">
                  <c:v>0.7893620547009822</c:v>
                </c:pt>
                <c:pt idx="10">
                  <c:v>0.59532421599202678</c:v>
                </c:pt>
                <c:pt idx="11">
                  <c:v>0.59532421599202678</c:v>
                </c:pt>
                <c:pt idx="12">
                  <c:v>0.27431153103914752</c:v>
                </c:pt>
                <c:pt idx="13">
                  <c:v>0.27431153103914752</c:v>
                </c:pt>
                <c:pt idx="14">
                  <c:v>0.27431153103914752</c:v>
                </c:pt>
                <c:pt idx="15">
                  <c:v>0.71379915616115208</c:v>
                </c:pt>
                <c:pt idx="16">
                  <c:v>0.41992092232853029</c:v>
                </c:pt>
                <c:pt idx="17">
                  <c:v>0.41992092232853029</c:v>
                </c:pt>
                <c:pt idx="18">
                  <c:v>0.41992092232853029</c:v>
                </c:pt>
                <c:pt idx="19">
                  <c:v>0.82036879330444146</c:v>
                </c:pt>
                <c:pt idx="20">
                  <c:v>0.77920825485013756</c:v>
                </c:pt>
                <c:pt idx="21">
                  <c:v>0.70118676965305315</c:v>
                </c:pt>
                <c:pt idx="22">
                  <c:v>0.8629999867911009</c:v>
                </c:pt>
                <c:pt idx="23">
                  <c:v>0.41992092232853029</c:v>
                </c:pt>
                <c:pt idx="24">
                  <c:v>0.41992092232853029</c:v>
                </c:pt>
                <c:pt idx="25">
                  <c:v>0.71379915616115208</c:v>
                </c:pt>
                <c:pt idx="26">
                  <c:v>0.53379987105554849</c:v>
                </c:pt>
                <c:pt idx="27">
                  <c:v>0.29023554325797374</c:v>
                </c:pt>
                <c:pt idx="28">
                  <c:v>0.70118676965305315</c:v>
                </c:pt>
                <c:pt idx="29">
                  <c:v>0.70118676965305315</c:v>
                </c:pt>
                <c:pt idx="30">
                  <c:v>0.60122481824896112</c:v>
                </c:pt>
                <c:pt idx="31">
                  <c:v>0.69649689975213147</c:v>
                </c:pt>
                <c:pt idx="32">
                  <c:v>0.94122822747742318</c:v>
                </c:pt>
                <c:pt idx="33">
                  <c:v>0.69649689975213147</c:v>
                </c:pt>
                <c:pt idx="34">
                  <c:v>0.8629999867911009</c:v>
                </c:pt>
                <c:pt idx="35">
                  <c:v>0.69649689975213147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F0-460D-9148-A467A3C7388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57004952"/>
        <c:axId val="1057001712"/>
      </c:scatterChart>
      <c:valAx>
        <c:axId val="1057004952"/>
        <c:scaling>
          <c:orientation val="minMax"/>
          <c:max val="1"/>
          <c:min val="0.6500000000000001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7001712"/>
        <c:crosses val="autoZero"/>
        <c:crossBetween val="midCat"/>
      </c:valAx>
      <c:valAx>
        <c:axId val="1057001712"/>
        <c:scaling>
          <c:orientation val="minMax"/>
          <c:max val="1.05"/>
          <c:min val="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Super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7004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MODELO DE FRAGILIDAD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Hoja1!$C$2:$C$37</c:f>
              <c:numCache>
                <c:formatCode>0.000</c:formatCode>
                <c:ptCount val="36"/>
                <c:pt idx="0">
                  <c:v>0.89312499999999995</c:v>
                </c:pt>
                <c:pt idx="1">
                  <c:v>0.85749999999999993</c:v>
                </c:pt>
                <c:pt idx="2">
                  <c:v>0.89312499999999995</c:v>
                </c:pt>
                <c:pt idx="3">
                  <c:v>0.89312499999999995</c:v>
                </c:pt>
                <c:pt idx="4">
                  <c:v>0.89312499999999995</c:v>
                </c:pt>
                <c:pt idx="5">
                  <c:v>0.92874999999999996</c:v>
                </c:pt>
                <c:pt idx="6">
                  <c:v>0.97</c:v>
                </c:pt>
                <c:pt idx="7">
                  <c:v>0.89312499999999995</c:v>
                </c:pt>
                <c:pt idx="8">
                  <c:v>0.80400000000000005</c:v>
                </c:pt>
                <c:pt idx="9">
                  <c:v>0.92874999999999996</c:v>
                </c:pt>
                <c:pt idx="10">
                  <c:v>0.85037499999999999</c:v>
                </c:pt>
                <c:pt idx="11">
                  <c:v>0.85037499999999999</c:v>
                </c:pt>
                <c:pt idx="12">
                  <c:v>0.66749999999999998</c:v>
                </c:pt>
                <c:pt idx="13">
                  <c:v>0.66749999999999998</c:v>
                </c:pt>
                <c:pt idx="14">
                  <c:v>0.66749999999999998</c:v>
                </c:pt>
                <c:pt idx="15">
                  <c:v>0.9</c:v>
                </c:pt>
                <c:pt idx="16">
                  <c:v>0.76249999999999996</c:v>
                </c:pt>
                <c:pt idx="17">
                  <c:v>0.76249999999999996</c:v>
                </c:pt>
                <c:pt idx="18">
                  <c:v>0.76249999999999996</c:v>
                </c:pt>
                <c:pt idx="19">
                  <c:v>0.94</c:v>
                </c:pt>
                <c:pt idx="20">
                  <c:v>0.92500000000000004</c:v>
                </c:pt>
                <c:pt idx="21">
                  <c:v>0.89500000000000002</c:v>
                </c:pt>
                <c:pt idx="22">
                  <c:v>0.95499999999999996</c:v>
                </c:pt>
                <c:pt idx="23">
                  <c:v>0.76249999999999996</c:v>
                </c:pt>
                <c:pt idx="24">
                  <c:v>0.76249999999999996</c:v>
                </c:pt>
                <c:pt idx="25">
                  <c:v>0.9</c:v>
                </c:pt>
                <c:pt idx="26">
                  <c:v>0.82187500000000002</c:v>
                </c:pt>
                <c:pt idx="27">
                  <c:v>0.67937500000000006</c:v>
                </c:pt>
                <c:pt idx="28">
                  <c:v>0.89500000000000002</c:v>
                </c:pt>
                <c:pt idx="29">
                  <c:v>0.89500000000000002</c:v>
                </c:pt>
                <c:pt idx="30">
                  <c:v>0.85299999999999998</c:v>
                </c:pt>
                <c:pt idx="31">
                  <c:v>0.89312499999999995</c:v>
                </c:pt>
                <c:pt idx="32">
                  <c:v>0.98124999999999996</c:v>
                </c:pt>
                <c:pt idx="33">
                  <c:v>0.89312499999999995</c:v>
                </c:pt>
                <c:pt idx="34">
                  <c:v>0.95499999999999996</c:v>
                </c:pt>
                <c:pt idx="35">
                  <c:v>0.89312499999999995</c:v>
                </c:pt>
              </c:numCache>
            </c:numRef>
          </c:xVal>
          <c:yVal>
            <c:numRef>
              <c:f>Hoja1!$D$2:$D$37</c:f>
              <c:numCache>
                <c:formatCode>0.000</c:formatCode>
                <c:ptCount val="36"/>
                <c:pt idx="0">
                  <c:v>0.69649689975213103</c:v>
                </c:pt>
                <c:pt idx="1">
                  <c:v>0.61143347488958655</c:v>
                </c:pt>
                <c:pt idx="2">
                  <c:v>0.69649689975213147</c:v>
                </c:pt>
                <c:pt idx="3">
                  <c:v>0.69649689975213147</c:v>
                </c:pt>
                <c:pt idx="4">
                  <c:v>0.69649689975213147</c:v>
                </c:pt>
                <c:pt idx="5">
                  <c:v>0.7893620547009822</c:v>
                </c:pt>
                <c:pt idx="6">
                  <c:v>0.90713004130020858</c:v>
                </c:pt>
                <c:pt idx="7">
                  <c:v>0.69649689975213147</c:v>
                </c:pt>
                <c:pt idx="8">
                  <c:v>0.49753009518937347</c:v>
                </c:pt>
                <c:pt idx="9">
                  <c:v>0.7893620547009822</c:v>
                </c:pt>
                <c:pt idx="10">
                  <c:v>0.59532421599202678</c:v>
                </c:pt>
                <c:pt idx="11">
                  <c:v>0.59532421599202678</c:v>
                </c:pt>
                <c:pt idx="12">
                  <c:v>0.27431153103914752</c:v>
                </c:pt>
                <c:pt idx="13">
                  <c:v>0.27431153103914752</c:v>
                </c:pt>
                <c:pt idx="14">
                  <c:v>0.27431153103914752</c:v>
                </c:pt>
                <c:pt idx="15">
                  <c:v>0.71379915616115208</c:v>
                </c:pt>
                <c:pt idx="16">
                  <c:v>0.41992092232853029</c:v>
                </c:pt>
                <c:pt idx="17">
                  <c:v>0.41992092232853029</c:v>
                </c:pt>
                <c:pt idx="18">
                  <c:v>0.41992092232853029</c:v>
                </c:pt>
                <c:pt idx="19">
                  <c:v>0.82036879330444146</c:v>
                </c:pt>
                <c:pt idx="20">
                  <c:v>0.77920825485013756</c:v>
                </c:pt>
                <c:pt idx="21">
                  <c:v>0.70118676965305315</c:v>
                </c:pt>
                <c:pt idx="22">
                  <c:v>0.8629999867911009</c:v>
                </c:pt>
                <c:pt idx="23">
                  <c:v>0.41992092232853029</c:v>
                </c:pt>
                <c:pt idx="24">
                  <c:v>0.41992092232853029</c:v>
                </c:pt>
                <c:pt idx="25">
                  <c:v>0.71379915616115208</c:v>
                </c:pt>
                <c:pt idx="26">
                  <c:v>0.53379987105554849</c:v>
                </c:pt>
                <c:pt idx="27">
                  <c:v>0.29023554325797374</c:v>
                </c:pt>
                <c:pt idx="28">
                  <c:v>0.70118676965305315</c:v>
                </c:pt>
                <c:pt idx="29">
                  <c:v>0.70118676965305315</c:v>
                </c:pt>
                <c:pt idx="30">
                  <c:v>0.60122481824896112</c:v>
                </c:pt>
                <c:pt idx="31">
                  <c:v>0.69649689975213147</c:v>
                </c:pt>
                <c:pt idx="32">
                  <c:v>0.94122822747742318</c:v>
                </c:pt>
                <c:pt idx="33">
                  <c:v>0.69649689975213147</c:v>
                </c:pt>
                <c:pt idx="34">
                  <c:v>0.8629999867911009</c:v>
                </c:pt>
                <c:pt idx="35">
                  <c:v>0.69649689975213147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57-417D-A87A-915EFDB4FF52}"/>
            </c:ext>
          </c:extLst>
        </c:ser>
        <c:ser>
          <c:idx val="1"/>
          <c:order val="1"/>
          <c:tx>
            <c:v>Modelo teorico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Hoja1!$H$2:$H$37</c:f>
              <c:numCache>
                <c:formatCode>0.000</c:formatCode>
                <c:ptCount val="36"/>
                <c:pt idx="0">
                  <c:v>0</c:v>
                </c:pt>
                <c:pt idx="1">
                  <c:v>2.8571428571428571E-2</c:v>
                </c:pt>
                <c:pt idx="2">
                  <c:v>5.7142857142857141E-2</c:v>
                </c:pt>
                <c:pt idx="3">
                  <c:v>8.5714285714285715E-2</c:v>
                </c:pt>
                <c:pt idx="4">
                  <c:v>0.11428571428571428</c:v>
                </c:pt>
                <c:pt idx="5">
                  <c:v>0.14285714285714285</c:v>
                </c:pt>
                <c:pt idx="6">
                  <c:v>0.17142857142857143</c:v>
                </c:pt>
                <c:pt idx="7">
                  <c:v>0.2</c:v>
                </c:pt>
                <c:pt idx="8">
                  <c:v>0.22857142857142859</c:v>
                </c:pt>
                <c:pt idx="9">
                  <c:v>0.25714285714285717</c:v>
                </c:pt>
                <c:pt idx="10">
                  <c:v>0.28571428571428575</c:v>
                </c:pt>
                <c:pt idx="11">
                  <c:v>0.31428571428571433</c:v>
                </c:pt>
                <c:pt idx="12">
                  <c:v>0.34285714285714292</c:v>
                </c:pt>
                <c:pt idx="13">
                  <c:v>0.3714285714285715</c:v>
                </c:pt>
                <c:pt idx="14">
                  <c:v>0.40000000000000008</c:v>
                </c:pt>
                <c:pt idx="15">
                  <c:v>0.42857142857142866</c:v>
                </c:pt>
                <c:pt idx="16">
                  <c:v>0.45714285714285724</c:v>
                </c:pt>
                <c:pt idx="17">
                  <c:v>0.48571428571428582</c:v>
                </c:pt>
                <c:pt idx="18">
                  <c:v>0.51428571428571435</c:v>
                </c:pt>
                <c:pt idx="19">
                  <c:v>0.54285714285714293</c:v>
                </c:pt>
                <c:pt idx="20">
                  <c:v>0.57142857142857151</c:v>
                </c:pt>
                <c:pt idx="21">
                  <c:v>0.60000000000000009</c:v>
                </c:pt>
                <c:pt idx="22">
                  <c:v>0.62857142857142867</c:v>
                </c:pt>
                <c:pt idx="23">
                  <c:v>0.65714285714285725</c:v>
                </c:pt>
                <c:pt idx="24">
                  <c:v>0.68571428571428583</c:v>
                </c:pt>
                <c:pt idx="25">
                  <c:v>0.71428571428571441</c:v>
                </c:pt>
                <c:pt idx="26">
                  <c:v>0.74285714285714299</c:v>
                </c:pt>
                <c:pt idx="27">
                  <c:v>0.77142857142857157</c:v>
                </c:pt>
                <c:pt idx="28">
                  <c:v>0.80000000000000016</c:v>
                </c:pt>
                <c:pt idx="29">
                  <c:v>0.82857142857142874</c:v>
                </c:pt>
                <c:pt idx="30">
                  <c:v>0.85714285714285732</c:v>
                </c:pt>
                <c:pt idx="31">
                  <c:v>0.8857142857142859</c:v>
                </c:pt>
                <c:pt idx="32">
                  <c:v>0.91428571428571448</c:v>
                </c:pt>
                <c:pt idx="33">
                  <c:v>0.94285714285714306</c:v>
                </c:pt>
                <c:pt idx="34">
                  <c:v>0.97142857142857164</c:v>
                </c:pt>
                <c:pt idx="35">
                  <c:v>1.0000000000000002</c:v>
                </c:pt>
              </c:numCache>
            </c:numRef>
          </c:xVal>
          <c:yVal>
            <c:numRef>
              <c:f>Hoja1!$I$2:$I$37</c:f>
              <c:numCache>
                <c:formatCode>0.000</c:formatCode>
                <c:ptCount val="36"/>
                <c:pt idx="0">
                  <c:v>0</c:v>
                </c:pt>
                <c:pt idx="1">
                  <c:v>1.1454661455830583E-5</c:v>
                </c:pt>
                <c:pt idx="2">
                  <c:v>1.0526360617088429E-4</c:v>
                </c:pt>
                <c:pt idx="3">
                  <c:v>3.8527450681543626E-4</c:v>
                </c:pt>
                <c:pt idx="4">
                  <c:v>9.6732904999640443E-4</c:v>
                </c:pt>
                <c:pt idx="5">
                  <c:v>1.9755420215757449E-3</c:v>
                </c:pt>
                <c:pt idx="6">
                  <c:v>3.5405135376094824E-3</c:v>
                </c:pt>
                <c:pt idx="7">
                  <c:v>5.7982373094215625E-3</c:v>
                </c:pt>
                <c:pt idx="8">
                  <c:v>8.8893543077737183E-3</c:v>
                </c:pt>
                <c:pt idx="9">
                  <c:v>1.2958606081397666E-2</c:v>
                </c:pt>
                <c:pt idx="10">
                  <c:v>1.8154414963292623E-2</c:v>
                </c:pt>
                <c:pt idx="11">
                  <c:v>2.4628550395694695E-2</c:v>
                </c:pt>
                <c:pt idx="12">
                  <c:v>3.2535856611974001E-2</c:v>
                </c:pt>
                <c:pt idx="13">
                  <c:v>4.2034025703282296E-2</c:v>
                </c:pt>
                <c:pt idx="14">
                  <c:v>5.3283405273719907E-2</c:v>
                </c:pt>
                <c:pt idx="15">
                  <c:v>6.6446833107262335E-2</c:v>
                </c:pt>
                <c:pt idx="16">
                  <c:v>8.1689493362603838E-2</c:v>
                </c:pt>
                <c:pt idx="17">
                  <c:v>9.9178790223119484E-2</c:v>
                </c:pt>
                <c:pt idx="18">
                  <c:v>0.11908423591004856</c:v>
                </c:pt>
                <c:pt idx="19">
                  <c:v>0.14157735066692953</c:v>
                </c:pt>
                <c:pt idx="20">
                  <c:v>0.16683157283414232</c:v>
                </c:pt>
                <c:pt idx="21">
                  <c:v>0.19502217751264589</c:v>
                </c:pt>
                <c:pt idx="22">
                  <c:v>0.22632620260396866</c:v>
                </c:pt>
                <c:pt idx="23">
                  <c:v>0.26092238123498968</c:v>
                </c:pt>
                <c:pt idx="24">
                  <c:v>0.29899107974875161</c:v>
                </c:pt>
                <c:pt idx="25">
                  <c:v>0.34071424057888877</c:v>
                </c:pt>
                <c:pt idx="26">
                  <c:v>0.38627532943410775</c:v>
                </c:pt>
                <c:pt idx="27">
                  <c:v>0.43585928630694559</c:v>
                </c:pt>
                <c:pt idx="28">
                  <c:v>0.48965247989249922</c:v>
                </c:pt>
                <c:pt idx="29">
                  <c:v>0.54784266506149248</c:v>
                </c:pt>
                <c:pt idx="30">
                  <c:v>0.61061894308059828</c:v>
                </c:pt>
                <c:pt idx="31">
                  <c:v>0.67817172431339812</c:v>
                </c:pt>
                <c:pt idx="32">
                  <c:v>0.7506926931693142</c:v>
                </c:pt>
                <c:pt idx="33">
                  <c:v>0.82837477509651603</c:v>
                </c:pt>
                <c:pt idx="34">
                  <c:v>0.91141210543914697</c:v>
                </c:pt>
                <c:pt idx="35">
                  <c:v>1.0000000000000007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57-417D-A87A-915EFDB4F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8801848"/>
        <c:axId val="1058801488"/>
      </c:scatterChart>
      <c:valAx>
        <c:axId val="105880184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8801488"/>
        <c:crosses val="autoZero"/>
        <c:crossBetween val="midCat"/>
      </c:valAx>
      <c:valAx>
        <c:axId val="105880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Sper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8801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133349</xdr:colOff>
      <xdr:row>0</xdr:row>
      <xdr:rowOff>66674</xdr:rowOff>
    </xdr:from>
    <xdr:to>
      <xdr:col>8</xdr:col>
      <xdr:colOff>676274</xdr:colOff>
      <xdr:row>9</xdr:row>
      <xdr:rowOff>114299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9CAE188-F080-18DD-8CD6-523FA39E3D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123824</xdr:colOff>
      <xdr:row>10</xdr:row>
      <xdr:rowOff>19050</xdr:rowOff>
    </xdr:from>
    <xdr:to>
      <xdr:col>10</xdr:col>
      <xdr:colOff>647699</xdr:colOff>
      <xdr:row>18</xdr:row>
      <xdr:rowOff>123825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F347D25-0B86-17A2-12CE-6A5C92A2A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228600</xdr:colOff>
      <xdr:row>18</xdr:row>
      <xdr:rowOff>171450</xdr:rowOff>
    </xdr:from>
    <xdr:to>
      <xdr:col>7</xdr:col>
      <xdr:colOff>495300</xdr:colOff>
      <xdr:row>24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C9A2DEE-C309-32B0-D108-F991C783E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171450</xdr:colOff>
      <xdr:row>21</xdr:row>
      <xdr:rowOff>109537</xdr:rowOff>
    </xdr:from>
    <xdr:to>
      <xdr:col>15</xdr:col>
      <xdr:colOff>171450</xdr:colOff>
      <xdr:row>34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12A5494-E122-A7E4-0146-A3394D32E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238124</xdr:colOff>
      <xdr:row>24</xdr:row>
      <xdr:rowOff>123824</xdr:rowOff>
    </xdr:from>
    <xdr:to>
      <xdr:col>9</xdr:col>
      <xdr:colOff>9525</xdr:colOff>
      <xdr:row>33</xdr:row>
      <xdr:rowOff>180974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A376CCB-6A9F-7CD7-223D-BED905E73C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581025</xdr:colOff>
      <xdr:row>39</xdr:row>
      <xdr:rowOff>23812</xdr:rowOff>
    </xdr:from>
    <xdr:to>
      <xdr:col>7</xdr:col>
      <xdr:colOff>571500</xdr:colOff>
      <xdr:row>53</xdr:row>
      <xdr:rowOff>100012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2E887B1-DAA9-FE8C-97FD-7E53CD0963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0</xdr:colOff>
      <xdr:row>38</xdr:row>
      <xdr:rowOff>52387</xdr:rowOff>
    </xdr:from>
    <xdr:to>
      <xdr:col>14</xdr:col>
      <xdr:colOff>0</xdr:colOff>
      <xdr:row>51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0C8D28-426F-7BFD-60A7-C580C6087F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638175</xdr:colOff>
      <xdr:row>53</xdr:row>
      <xdr:rowOff>166687</xdr:rowOff>
    </xdr:from>
    <xdr:to>
      <xdr:col>7</xdr:col>
      <xdr:colOff>47625</xdr:colOff>
      <xdr:row>61</xdr:row>
      <xdr:rowOff>180975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E88A2A3-B3DF-5D1C-B082-5CA515DCDC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0</xdr:colOff>
      <xdr:row>51</xdr:row>
      <xdr:rowOff>57150</xdr:rowOff>
    </xdr:from>
    <xdr:to>
      <xdr:col>12</xdr:col>
      <xdr:colOff>457200</xdr:colOff>
      <xdr:row>61</xdr:row>
      <xdr:rowOff>90487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3DE56BF8-68FB-3978-6545-915826AB3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542925</xdr:colOff>
      <xdr:row>62</xdr:row>
      <xdr:rowOff>71437</xdr:rowOff>
    </xdr:from>
    <xdr:to>
      <xdr:col>7</xdr:col>
      <xdr:colOff>38100</xdr:colOff>
      <xdr:row>72</xdr:row>
      <xdr:rowOff>19050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45C68BC4-43B8-730F-6E36-7D4D945222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552450</xdr:colOff>
      <xdr:row>62</xdr:row>
      <xdr:rowOff>4762</xdr:rowOff>
    </xdr:from>
    <xdr:to>
      <xdr:col>13</xdr:col>
      <xdr:colOff>552450</xdr:colOff>
      <xdr:row>72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2CBB96D2-672D-965C-139A-245EBF481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</xdr:col>
      <xdr:colOff>114300</xdr:colOff>
      <xdr:row>79</xdr:row>
      <xdr:rowOff>80962</xdr:rowOff>
    </xdr:from>
    <xdr:to>
      <xdr:col>7</xdr:col>
      <xdr:colOff>600075</xdr:colOff>
      <xdr:row>88</xdr:row>
      <xdr:rowOff>166687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C31B4C9A-279D-ABDE-B900-3647525D05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9524</xdr:colOff>
      <xdr:row>72</xdr:row>
      <xdr:rowOff>166687</xdr:rowOff>
    </xdr:from>
    <xdr:to>
      <xdr:col>13</xdr:col>
      <xdr:colOff>714375</xdr:colOff>
      <xdr:row>83</xdr:row>
      <xdr:rowOff>109537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82D492B0-2E12-F49D-C65C-4DA6A9232C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</xdr:col>
      <xdr:colOff>561975</xdr:colOff>
      <xdr:row>89</xdr:row>
      <xdr:rowOff>61912</xdr:rowOff>
    </xdr:from>
    <xdr:to>
      <xdr:col>8</xdr:col>
      <xdr:colOff>704850</xdr:colOff>
      <xdr:row>102</xdr:row>
      <xdr:rowOff>138112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950E9966-A456-F35F-F9E0-487B26906A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9</xdr:col>
      <xdr:colOff>352425</xdr:colOff>
      <xdr:row>89</xdr:row>
      <xdr:rowOff>52387</xdr:rowOff>
    </xdr:from>
    <xdr:to>
      <xdr:col>15</xdr:col>
      <xdr:colOff>133350</xdr:colOff>
      <xdr:row>102</xdr:row>
      <xdr:rowOff>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F9514674-1800-2D1B-B4BE-48AE8B8DEB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</xdr:col>
      <xdr:colOff>666750</xdr:colOff>
      <xdr:row>103</xdr:row>
      <xdr:rowOff>42862</xdr:rowOff>
    </xdr:from>
    <xdr:to>
      <xdr:col>7</xdr:col>
      <xdr:colOff>657225</xdr:colOff>
      <xdr:row>114</xdr:row>
      <xdr:rowOff>119062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ED13A6F8-FCD5-7078-CCC4-BB37E6F62A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704850</xdr:colOff>
      <xdr:row>0</xdr:row>
      <xdr:rowOff>100012</xdr:rowOff>
    </xdr:from>
    <xdr:to>
      <xdr:col>16</xdr:col>
      <xdr:colOff>704850</xdr:colOff>
      <xdr:row>11</xdr:row>
      <xdr:rowOff>366712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D6336D9B-E79E-40A4-398D-C0E04EDDF0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133349</xdr:colOff>
      <xdr:row>0</xdr:row>
      <xdr:rowOff>180975</xdr:rowOff>
    </xdr:from>
    <xdr:to>
      <xdr:col>32</xdr:col>
      <xdr:colOff>238124</xdr:colOff>
      <xdr:row>13</xdr:row>
      <xdr:rowOff>214312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A416A600-72B4-E65A-F48F-C867BC5F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502707</xdr:colOff>
      <xdr:row>8</xdr:row>
      <xdr:rowOff>168275</xdr:rowOff>
    </xdr:from>
    <xdr:to>
      <xdr:col>19</xdr:col>
      <xdr:colOff>179917</xdr:colOff>
      <xdr:row>23</xdr:row>
      <xdr:rowOff>53975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7EC573C-2ECD-C141-D626-AACC242126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20D57-7699-480E-B184-AE4D29075873}">
  <dimension ref="A1:AK39"/>
  <sheetViews>
    <sheetView topLeftCell="Z1" zoomScale="112" zoomScaleNormal="112" workbookViewId="0">
      <selection activeCell="AK4" sqref="AK4"/>
    </sheetView>
  </sheetViews>
  <sheetFormatPr baseColWidth="10" defaultRowHeight="15" x14ac:dyDescent="0.25"/>
  <cols>
    <col min="1" max="1" width="5.42578125" style="8" customWidth="1"/>
    <col min="2" max="2" width="18" style="8" customWidth="1"/>
    <col min="3" max="3" width="19.85546875" style="8" customWidth="1"/>
    <col min="4" max="4" width="22.5703125" style="8" customWidth="1"/>
    <col min="5" max="5" width="15.28515625" customWidth="1"/>
    <col min="6" max="6" width="12.7109375" style="8" customWidth="1"/>
    <col min="7" max="7" width="14.7109375" style="8" customWidth="1"/>
    <col min="8" max="8" width="18.85546875" style="8" customWidth="1"/>
    <col min="9" max="9" width="21.140625" customWidth="1"/>
    <col min="10" max="10" width="26" style="8" customWidth="1"/>
    <col min="11" max="11" width="19.5703125" style="8" customWidth="1"/>
    <col min="12" max="12" width="35.85546875" customWidth="1"/>
    <col min="13" max="13" width="23" style="8" customWidth="1"/>
    <col min="14" max="14" width="21.7109375" style="8" customWidth="1"/>
    <col min="15" max="15" width="15.28515625" style="8" customWidth="1"/>
    <col min="16" max="16" width="20.28515625" style="12" customWidth="1"/>
    <col min="17" max="17" width="18.5703125" customWidth="1"/>
    <col min="18" max="18" width="15.28515625" customWidth="1"/>
    <col min="19" max="19" width="14.28515625" customWidth="1"/>
    <col min="20" max="20" width="18.28515625" style="13" customWidth="1"/>
    <col min="21" max="21" width="15.140625" style="13" customWidth="1"/>
    <col min="22" max="22" width="18" style="13" customWidth="1"/>
    <col min="23" max="23" width="11.42578125" style="38"/>
    <col min="24" max="26" width="24.7109375" style="13" customWidth="1"/>
    <col min="27" max="27" width="20.5703125" style="13" customWidth="1"/>
    <col min="28" max="28" width="20" style="13" customWidth="1"/>
    <col min="29" max="29" width="31.85546875" style="12" customWidth="1"/>
    <col min="34" max="34" width="10.85546875" customWidth="1"/>
    <col min="36" max="36" width="14.5703125" style="8" customWidth="1"/>
    <col min="37" max="37" width="11.42578125" style="7"/>
  </cols>
  <sheetData>
    <row r="1" spans="1:37" ht="42" customHeight="1" x14ac:dyDescent="0.25">
      <c r="A1" s="75" t="s">
        <v>3</v>
      </c>
      <c r="B1" s="77" t="s">
        <v>4</v>
      </c>
      <c r="C1" s="77" t="s">
        <v>5</v>
      </c>
      <c r="D1" s="79"/>
      <c r="E1" s="95" t="s">
        <v>8</v>
      </c>
      <c r="F1" s="77"/>
      <c r="G1" s="77"/>
      <c r="H1" s="77"/>
      <c r="I1" s="77"/>
      <c r="J1" s="77"/>
      <c r="K1" s="96"/>
      <c r="L1" s="97" t="s">
        <v>14</v>
      </c>
      <c r="M1" s="97"/>
      <c r="N1" s="97"/>
      <c r="O1" s="97"/>
      <c r="P1" s="97"/>
      <c r="Q1" s="97"/>
      <c r="R1" s="97"/>
      <c r="S1" s="97"/>
      <c r="T1" s="97"/>
      <c r="U1" s="75" t="s">
        <v>22</v>
      </c>
      <c r="V1" s="92"/>
      <c r="W1" s="77"/>
      <c r="X1" s="92"/>
      <c r="Y1" s="92"/>
      <c r="Z1" s="92"/>
      <c r="AA1" s="92"/>
      <c r="AB1" s="93"/>
      <c r="AC1" s="27" t="s">
        <v>28</v>
      </c>
      <c r="AD1" s="89" t="s">
        <v>315</v>
      </c>
      <c r="AE1" s="90"/>
      <c r="AF1" s="90"/>
      <c r="AG1" s="90"/>
      <c r="AH1" s="90"/>
      <c r="AI1" s="90"/>
      <c r="AJ1" s="90"/>
      <c r="AK1" s="14" t="s">
        <v>316</v>
      </c>
    </row>
    <row r="2" spans="1:37" s="5" customFormat="1" ht="48.75" customHeight="1" x14ac:dyDescent="0.25">
      <c r="A2" s="76"/>
      <c r="B2" s="78"/>
      <c r="C2" s="80" t="s">
        <v>6</v>
      </c>
      <c r="D2" s="81" t="s">
        <v>7</v>
      </c>
      <c r="E2" s="88" t="s">
        <v>9</v>
      </c>
      <c r="F2" s="78" t="s">
        <v>10</v>
      </c>
      <c r="G2" s="78" t="s">
        <v>116</v>
      </c>
      <c r="H2" s="78" t="s">
        <v>11</v>
      </c>
      <c r="I2" s="78" t="s">
        <v>12</v>
      </c>
      <c r="J2" s="78" t="s">
        <v>13</v>
      </c>
      <c r="K2" s="94" t="s">
        <v>120</v>
      </c>
      <c r="L2" s="86" t="s">
        <v>15</v>
      </c>
      <c r="M2" s="78" t="s">
        <v>16</v>
      </c>
      <c r="N2" s="78" t="s">
        <v>17</v>
      </c>
      <c r="O2" s="78" t="s">
        <v>18</v>
      </c>
      <c r="P2" s="78" t="s">
        <v>19</v>
      </c>
      <c r="Q2" s="78" t="s">
        <v>20</v>
      </c>
      <c r="R2" s="78" t="s">
        <v>21</v>
      </c>
      <c r="S2" s="78" t="s">
        <v>178</v>
      </c>
      <c r="T2" s="84" t="s">
        <v>127</v>
      </c>
      <c r="U2" s="88" t="s">
        <v>23</v>
      </c>
      <c r="V2" s="78" t="s">
        <v>24</v>
      </c>
      <c r="W2" s="78" t="s">
        <v>25</v>
      </c>
      <c r="X2" s="78" t="s">
        <v>26</v>
      </c>
      <c r="Y2" s="78"/>
      <c r="Z2" s="78"/>
      <c r="AA2" s="78" t="s">
        <v>27</v>
      </c>
      <c r="AB2" s="94" t="s">
        <v>181</v>
      </c>
      <c r="AC2" s="91" t="s">
        <v>29</v>
      </c>
      <c r="AD2" s="78" t="s">
        <v>302</v>
      </c>
      <c r="AE2" s="78" t="s">
        <v>303</v>
      </c>
      <c r="AF2" s="78" t="s">
        <v>304</v>
      </c>
      <c r="AG2" s="78" t="s">
        <v>305</v>
      </c>
      <c r="AH2" s="78" t="s">
        <v>306</v>
      </c>
      <c r="AI2" s="78" t="s">
        <v>307</v>
      </c>
      <c r="AJ2" s="84" t="s">
        <v>308</v>
      </c>
      <c r="AK2" s="78" t="s">
        <v>317</v>
      </c>
    </row>
    <row r="3" spans="1:37" s="5" customFormat="1" ht="48.75" customHeight="1" x14ac:dyDescent="0.25">
      <c r="A3" s="76"/>
      <c r="B3" s="78"/>
      <c r="C3" s="80"/>
      <c r="D3" s="81"/>
      <c r="E3" s="88"/>
      <c r="F3" s="78"/>
      <c r="G3" s="78"/>
      <c r="H3" s="78"/>
      <c r="I3" s="78"/>
      <c r="J3" s="78"/>
      <c r="K3" s="94"/>
      <c r="L3" s="86"/>
      <c r="M3" s="78"/>
      <c r="N3" s="78"/>
      <c r="O3" s="78"/>
      <c r="P3" s="78"/>
      <c r="Q3" s="78"/>
      <c r="R3" s="78"/>
      <c r="S3" s="78"/>
      <c r="T3" s="84"/>
      <c r="U3" s="88"/>
      <c r="V3" s="78"/>
      <c r="W3" s="78"/>
      <c r="X3" s="14" t="s">
        <v>131</v>
      </c>
      <c r="Y3" s="14" t="s">
        <v>132</v>
      </c>
      <c r="Z3" s="14" t="s">
        <v>133</v>
      </c>
      <c r="AA3" s="78"/>
      <c r="AB3" s="94"/>
      <c r="AC3" s="91"/>
      <c r="AD3" s="78"/>
      <c r="AE3" s="78"/>
      <c r="AF3" s="78"/>
      <c r="AG3" s="78"/>
      <c r="AH3" s="78"/>
      <c r="AI3" s="78"/>
      <c r="AJ3" s="84"/>
      <c r="AK3" s="78"/>
    </row>
    <row r="4" spans="1:37" s="5" customFormat="1" ht="30" x14ac:dyDescent="0.25">
      <c r="A4" s="19">
        <v>1</v>
      </c>
      <c r="B4" s="9" t="s">
        <v>30</v>
      </c>
      <c r="C4" s="9" t="s">
        <v>57</v>
      </c>
      <c r="D4" s="15" t="s">
        <v>58</v>
      </c>
      <c r="E4" s="19" t="s">
        <v>115</v>
      </c>
      <c r="F4" s="9">
        <v>1</v>
      </c>
      <c r="G4" s="9">
        <v>72</v>
      </c>
      <c r="H4" s="9" t="s">
        <v>117</v>
      </c>
      <c r="I4" s="3" t="s">
        <v>118</v>
      </c>
      <c r="J4" s="6" t="s">
        <v>119</v>
      </c>
      <c r="K4" s="20">
        <v>3</v>
      </c>
      <c r="L4" s="11" t="s">
        <v>135</v>
      </c>
      <c r="M4" s="6" t="s">
        <v>121</v>
      </c>
      <c r="N4" s="6" t="s">
        <v>122</v>
      </c>
      <c r="O4" s="6" t="s">
        <v>123</v>
      </c>
      <c r="P4" s="6" t="s">
        <v>284</v>
      </c>
      <c r="Q4" s="4" t="s">
        <v>124</v>
      </c>
      <c r="R4" s="4" t="s">
        <v>125</v>
      </c>
      <c r="S4" s="4" t="s">
        <v>126</v>
      </c>
      <c r="T4" s="10" t="s">
        <v>300</v>
      </c>
      <c r="U4" s="25" t="s">
        <v>128</v>
      </c>
      <c r="V4" s="6" t="s">
        <v>129</v>
      </c>
      <c r="W4" s="6" t="s">
        <v>130</v>
      </c>
      <c r="X4" s="6" t="s">
        <v>0</v>
      </c>
      <c r="Y4" s="6" t="s">
        <v>0</v>
      </c>
      <c r="Z4" s="6" t="s">
        <v>0</v>
      </c>
      <c r="AA4" s="6" t="s">
        <v>197</v>
      </c>
      <c r="AB4" s="21" t="s">
        <v>141</v>
      </c>
      <c r="AC4" s="28">
        <v>3</v>
      </c>
      <c r="AD4" s="6">
        <v>0.7</v>
      </c>
      <c r="AE4" s="6">
        <v>0.05</v>
      </c>
      <c r="AF4" s="6">
        <v>0.25</v>
      </c>
      <c r="AG4" s="6">
        <v>0.5</v>
      </c>
      <c r="AH4" s="68">
        <f>1-(1-AD4)*(1-AE4)*(1-AF4)*(1-AG4)</f>
        <v>0.89312499999999995</v>
      </c>
      <c r="AI4" s="69">
        <f>AH4*100</f>
        <v>89.3125</v>
      </c>
      <c r="AJ4" s="98" t="s">
        <v>143</v>
      </c>
      <c r="AK4" s="69">
        <f>(AH4)^3.2</f>
        <v>0.69649689975213147</v>
      </c>
    </row>
    <row r="5" spans="1:37" s="5" customFormat="1" ht="30" x14ac:dyDescent="0.25">
      <c r="A5" s="19">
        <v>2</v>
      </c>
      <c r="B5" s="9" t="s">
        <v>31</v>
      </c>
      <c r="C5" s="9" t="s">
        <v>59</v>
      </c>
      <c r="D5" s="15" t="s">
        <v>60</v>
      </c>
      <c r="E5" s="19" t="s">
        <v>115</v>
      </c>
      <c r="F5" s="9">
        <v>1</v>
      </c>
      <c r="G5" s="9">
        <v>78</v>
      </c>
      <c r="H5" s="9" t="s">
        <v>117</v>
      </c>
      <c r="I5" s="3" t="s">
        <v>118</v>
      </c>
      <c r="J5" s="6" t="s">
        <v>119</v>
      </c>
      <c r="K5" s="20">
        <v>5</v>
      </c>
      <c r="L5" s="11" t="s">
        <v>136</v>
      </c>
      <c r="M5" s="6" t="s">
        <v>182</v>
      </c>
      <c r="N5" s="6" t="s">
        <v>122</v>
      </c>
      <c r="O5" s="6" t="s">
        <v>123</v>
      </c>
      <c r="P5" s="6" t="s">
        <v>284</v>
      </c>
      <c r="Q5" s="4" t="s">
        <v>124</v>
      </c>
      <c r="R5" s="4" t="s">
        <v>125</v>
      </c>
      <c r="S5" s="4" t="s">
        <v>126</v>
      </c>
      <c r="T5" s="10" t="s">
        <v>300</v>
      </c>
      <c r="U5" s="25" t="s">
        <v>177</v>
      </c>
      <c r="V5" s="6" t="s">
        <v>129</v>
      </c>
      <c r="W5" s="6" t="s">
        <v>130</v>
      </c>
      <c r="X5" s="6" t="s">
        <v>0</v>
      </c>
      <c r="Y5" s="6" t="s">
        <v>0</v>
      </c>
      <c r="Z5" s="6" t="s">
        <v>0</v>
      </c>
      <c r="AA5" s="6" t="s">
        <v>197</v>
      </c>
      <c r="AB5" s="20" t="s">
        <v>137</v>
      </c>
      <c r="AC5" s="28">
        <v>3</v>
      </c>
      <c r="AD5" s="6">
        <v>0.7</v>
      </c>
      <c r="AE5" s="6">
        <v>0.05</v>
      </c>
      <c r="AF5" s="6">
        <v>0</v>
      </c>
      <c r="AG5" s="6">
        <v>0.5</v>
      </c>
      <c r="AH5" s="68">
        <f t="shared" ref="AH5:AH39" si="0">1-(1-AD5)*(1-AE5)*(1-AF5)*(1-AG5)</f>
        <v>0.85749999999999993</v>
      </c>
      <c r="AI5" s="69">
        <f t="shared" ref="AI5:AI39" si="1">AH5*100</f>
        <v>85.75</v>
      </c>
      <c r="AJ5" s="98" t="s">
        <v>143</v>
      </c>
      <c r="AK5" s="69">
        <f>(AH5)^3.2</f>
        <v>0.61143347488958655</v>
      </c>
    </row>
    <row r="6" spans="1:37" s="5" customFormat="1" ht="30" x14ac:dyDescent="0.25">
      <c r="A6" s="19">
        <v>3</v>
      </c>
      <c r="B6" s="9" t="s">
        <v>32</v>
      </c>
      <c r="C6" s="9" t="s">
        <v>59</v>
      </c>
      <c r="D6" s="15" t="s">
        <v>61</v>
      </c>
      <c r="E6" s="19" t="s">
        <v>115</v>
      </c>
      <c r="F6" s="9">
        <v>1</v>
      </c>
      <c r="G6" s="9">
        <v>52</v>
      </c>
      <c r="H6" s="9" t="s">
        <v>138</v>
      </c>
      <c r="I6" s="3" t="s">
        <v>118</v>
      </c>
      <c r="J6" s="6" t="s">
        <v>119</v>
      </c>
      <c r="K6" s="20">
        <v>7</v>
      </c>
      <c r="L6" s="11" t="s">
        <v>136</v>
      </c>
      <c r="M6" s="6" t="s">
        <v>182</v>
      </c>
      <c r="N6" s="6" t="s">
        <v>122</v>
      </c>
      <c r="O6" s="6" t="s">
        <v>123</v>
      </c>
      <c r="P6" s="6" t="s">
        <v>140</v>
      </c>
      <c r="Q6" s="4" t="s">
        <v>124</v>
      </c>
      <c r="R6" s="4" t="s">
        <v>143</v>
      </c>
      <c r="S6" s="3" t="s">
        <v>143</v>
      </c>
      <c r="T6" s="10" t="s">
        <v>300</v>
      </c>
      <c r="U6" s="25" t="s">
        <v>128</v>
      </c>
      <c r="V6" s="6" t="s">
        <v>129</v>
      </c>
      <c r="W6" s="6" t="s">
        <v>130</v>
      </c>
      <c r="X6" s="6" t="s">
        <v>0</v>
      </c>
      <c r="Y6" s="6" t="s">
        <v>0</v>
      </c>
      <c r="Z6" s="9" t="s">
        <v>0</v>
      </c>
      <c r="AA6" s="6" t="s">
        <v>197</v>
      </c>
      <c r="AB6" s="21" t="s">
        <v>141</v>
      </c>
      <c r="AC6" s="28">
        <v>3</v>
      </c>
      <c r="AD6" s="6">
        <v>0.7</v>
      </c>
      <c r="AE6" s="6">
        <v>0.05</v>
      </c>
      <c r="AF6" s="6">
        <v>0.25</v>
      </c>
      <c r="AG6" s="6">
        <v>0.5</v>
      </c>
      <c r="AH6" s="68">
        <f t="shared" si="0"/>
        <v>0.89312499999999995</v>
      </c>
      <c r="AI6" s="69">
        <f t="shared" si="1"/>
        <v>89.3125</v>
      </c>
      <c r="AJ6" s="98" t="s">
        <v>143</v>
      </c>
      <c r="AK6" s="69">
        <f t="shared" ref="AK5:AK39" si="2">(AH6)^3.2</f>
        <v>0.69649689975213147</v>
      </c>
    </row>
    <row r="7" spans="1:37" s="5" customFormat="1" ht="30" x14ac:dyDescent="0.25">
      <c r="A7" s="19">
        <v>4</v>
      </c>
      <c r="B7" s="9" t="s">
        <v>33</v>
      </c>
      <c r="C7" s="9" t="s">
        <v>62</v>
      </c>
      <c r="D7" s="15" t="s">
        <v>63</v>
      </c>
      <c r="E7" s="19" t="s">
        <v>115</v>
      </c>
      <c r="F7" s="9">
        <v>1</v>
      </c>
      <c r="G7" s="9">
        <v>29.7</v>
      </c>
      <c r="H7" s="9" t="s">
        <v>117</v>
      </c>
      <c r="I7" s="3" t="s">
        <v>118</v>
      </c>
      <c r="J7" s="6" t="s">
        <v>142</v>
      </c>
      <c r="K7" s="20">
        <v>2</v>
      </c>
      <c r="L7" s="11" t="s">
        <v>136</v>
      </c>
      <c r="M7" s="6" t="s">
        <v>182</v>
      </c>
      <c r="N7" s="6" t="s">
        <v>122</v>
      </c>
      <c r="O7" s="6" t="s">
        <v>123</v>
      </c>
      <c r="P7" s="6" t="s">
        <v>285</v>
      </c>
      <c r="Q7" s="3" t="s">
        <v>124</v>
      </c>
      <c r="R7" s="3" t="s">
        <v>143</v>
      </c>
      <c r="S7" s="3" t="s">
        <v>143</v>
      </c>
      <c r="T7" s="10" t="s">
        <v>300</v>
      </c>
      <c r="U7" s="25" t="s">
        <v>128</v>
      </c>
      <c r="V7" s="6" t="s">
        <v>129</v>
      </c>
      <c r="W7" s="6" t="s">
        <v>130</v>
      </c>
      <c r="X7" s="6" t="s">
        <v>0</v>
      </c>
      <c r="Y7" s="6" t="s">
        <v>0</v>
      </c>
      <c r="Z7" s="9" t="s">
        <v>0</v>
      </c>
      <c r="AA7" s="6" t="s">
        <v>185</v>
      </c>
      <c r="AB7" s="21" t="s">
        <v>141</v>
      </c>
      <c r="AC7" s="28">
        <v>3</v>
      </c>
      <c r="AD7" s="6">
        <v>0.7</v>
      </c>
      <c r="AE7" s="6">
        <v>0.05</v>
      </c>
      <c r="AF7" s="6">
        <v>0.25</v>
      </c>
      <c r="AG7" s="6">
        <v>0.5</v>
      </c>
      <c r="AH7" s="68">
        <f t="shared" si="0"/>
        <v>0.89312499999999995</v>
      </c>
      <c r="AI7" s="69">
        <f t="shared" si="1"/>
        <v>89.3125</v>
      </c>
      <c r="AJ7" s="98" t="s">
        <v>143</v>
      </c>
      <c r="AK7" s="69">
        <f>(AH7)^3.2</f>
        <v>0.69649689975213147</v>
      </c>
    </row>
    <row r="8" spans="1:37" s="5" customFormat="1" ht="30" x14ac:dyDescent="0.25">
      <c r="A8" s="19">
        <v>5</v>
      </c>
      <c r="B8" s="9" t="s">
        <v>34</v>
      </c>
      <c r="C8" s="9" t="s">
        <v>64</v>
      </c>
      <c r="D8" s="15" t="s">
        <v>65</v>
      </c>
      <c r="E8" s="19" t="s">
        <v>115</v>
      </c>
      <c r="F8" s="9">
        <v>1</v>
      </c>
      <c r="G8" s="9">
        <v>35</v>
      </c>
      <c r="H8" s="9" t="s">
        <v>117</v>
      </c>
      <c r="I8" s="3" t="s">
        <v>118</v>
      </c>
      <c r="J8" s="6" t="s">
        <v>142</v>
      </c>
      <c r="K8" s="20">
        <v>3</v>
      </c>
      <c r="L8" s="11" t="s">
        <v>136</v>
      </c>
      <c r="M8" s="6" t="s">
        <v>182</v>
      </c>
      <c r="N8" s="6" t="s">
        <v>122</v>
      </c>
      <c r="O8" s="6" t="s">
        <v>123</v>
      </c>
      <c r="P8" s="6" t="s">
        <v>285</v>
      </c>
      <c r="Q8" s="3" t="s">
        <v>124</v>
      </c>
      <c r="R8" s="3" t="s">
        <v>143</v>
      </c>
      <c r="S8" s="3" t="s">
        <v>143</v>
      </c>
      <c r="T8" s="10" t="s">
        <v>300</v>
      </c>
      <c r="U8" s="25" t="s">
        <v>128</v>
      </c>
      <c r="V8" s="6" t="s">
        <v>129</v>
      </c>
      <c r="W8" s="6" t="s">
        <v>130</v>
      </c>
      <c r="X8" s="6" t="s">
        <v>0</v>
      </c>
      <c r="Y8" s="6" t="s">
        <v>0</v>
      </c>
      <c r="Z8" s="9" t="s">
        <v>0</v>
      </c>
      <c r="AA8" s="6" t="s">
        <v>185</v>
      </c>
      <c r="AB8" s="21" t="s">
        <v>141</v>
      </c>
      <c r="AC8" s="28">
        <v>3</v>
      </c>
      <c r="AD8" s="6">
        <v>0.7</v>
      </c>
      <c r="AE8" s="6">
        <v>0.05</v>
      </c>
      <c r="AF8" s="6">
        <v>0.25</v>
      </c>
      <c r="AG8" s="6">
        <v>0.5</v>
      </c>
      <c r="AH8" s="68">
        <f t="shared" si="0"/>
        <v>0.89312499999999995</v>
      </c>
      <c r="AI8" s="69">
        <f t="shared" si="1"/>
        <v>89.3125</v>
      </c>
      <c r="AJ8" s="98" t="s">
        <v>143</v>
      </c>
      <c r="AK8" s="69">
        <f t="shared" si="2"/>
        <v>0.69649689975213147</v>
      </c>
    </row>
    <row r="9" spans="1:37" s="5" customFormat="1" ht="45" x14ac:dyDescent="0.25">
      <c r="A9" s="19">
        <v>6</v>
      </c>
      <c r="B9" s="9" t="s">
        <v>35</v>
      </c>
      <c r="C9" s="9" t="s">
        <v>66</v>
      </c>
      <c r="D9" s="15" t="s">
        <v>67</v>
      </c>
      <c r="E9" s="19" t="s">
        <v>115</v>
      </c>
      <c r="F9" s="9">
        <v>1</v>
      </c>
      <c r="G9" s="9">
        <v>60</v>
      </c>
      <c r="H9" s="9" t="s">
        <v>117</v>
      </c>
      <c r="I9" s="3" t="s">
        <v>118</v>
      </c>
      <c r="J9" s="6" t="s">
        <v>142</v>
      </c>
      <c r="K9" s="20">
        <v>3</v>
      </c>
      <c r="L9" s="11" t="s">
        <v>136</v>
      </c>
      <c r="M9" s="6" t="s">
        <v>182</v>
      </c>
      <c r="N9" s="6" t="s">
        <v>122</v>
      </c>
      <c r="O9" s="6" t="s">
        <v>123</v>
      </c>
      <c r="P9" s="6" t="s">
        <v>285</v>
      </c>
      <c r="Q9" s="3" t="s">
        <v>124</v>
      </c>
      <c r="R9" s="3" t="s">
        <v>143</v>
      </c>
      <c r="S9" s="3" t="s">
        <v>143</v>
      </c>
      <c r="T9" s="10" t="s">
        <v>300</v>
      </c>
      <c r="U9" s="25" t="s">
        <v>144</v>
      </c>
      <c r="V9" s="6" t="s">
        <v>129</v>
      </c>
      <c r="W9" s="6" t="s">
        <v>130</v>
      </c>
      <c r="X9" s="6" t="s">
        <v>0</v>
      </c>
      <c r="Y9" s="6" t="s">
        <v>0</v>
      </c>
      <c r="Z9" s="9" t="s">
        <v>0</v>
      </c>
      <c r="AA9" s="6" t="s">
        <v>185</v>
      </c>
      <c r="AB9" s="21" t="s">
        <v>141</v>
      </c>
      <c r="AC9" s="28">
        <v>3</v>
      </c>
      <c r="AD9" s="6">
        <v>0.7</v>
      </c>
      <c r="AE9" s="6">
        <v>0.05</v>
      </c>
      <c r="AF9" s="6">
        <v>0.5</v>
      </c>
      <c r="AG9" s="6">
        <v>0.5</v>
      </c>
      <c r="AH9" s="68">
        <f t="shared" si="0"/>
        <v>0.92874999999999996</v>
      </c>
      <c r="AI9" s="69">
        <f t="shared" si="1"/>
        <v>92.875</v>
      </c>
      <c r="AJ9" s="99" t="s">
        <v>309</v>
      </c>
      <c r="AK9" s="69">
        <f t="shared" si="2"/>
        <v>0.7893620547009822</v>
      </c>
    </row>
    <row r="10" spans="1:37" s="5" customFormat="1" ht="60" x14ac:dyDescent="0.25">
      <c r="A10" s="19">
        <v>7</v>
      </c>
      <c r="B10" s="9" t="s">
        <v>276</v>
      </c>
      <c r="C10" s="9" t="s">
        <v>68</v>
      </c>
      <c r="D10" s="15" t="s">
        <v>69</v>
      </c>
      <c r="E10" s="19" t="s">
        <v>145</v>
      </c>
      <c r="F10" s="6">
        <v>2</v>
      </c>
      <c r="G10" s="6">
        <v>54</v>
      </c>
      <c r="H10" s="6" t="s">
        <v>117</v>
      </c>
      <c r="I10" s="4" t="s">
        <v>118</v>
      </c>
      <c r="J10" s="6" t="s">
        <v>142</v>
      </c>
      <c r="K10" s="21">
        <v>3</v>
      </c>
      <c r="L10" s="11" t="s">
        <v>167</v>
      </c>
      <c r="M10" s="6" t="s">
        <v>139</v>
      </c>
      <c r="N10" s="6" t="s">
        <v>122</v>
      </c>
      <c r="O10" s="6" t="s">
        <v>179</v>
      </c>
      <c r="P10" s="6" t="s">
        <v>180</v>
      </c>
      <c r="Q10" s="4" t="s">
        <v>124</v>
      </c>
      <c r="R10" s="4" t="s">
        <v>143</v>
      </c>
      <c r="S10" s="4" t="s">
        <v>143</v>
      </c>
      <c r="T10" s="10" t="s">
        <v>300</v>
      </c>
      <c r="U10" s="25" t="s">
        <v>146</v>
      </c>
      <c r="V10" s="6" t="s">
        <v>129</v>
      </c>
      <c r="W10" s="6" t="s">
        <v>130</v>
      </c>
      <c r="X10" s="6" t="s">
        <v>0</v>
      </c>
      <c r="Y10" s="6" t="s">
        <v>0</v>
      </c>
      <c r="Z10" s="9" t="s">
        <v>0</v>
      </c>
      <c r="AA10" s="6" t="s">
        <v>185</v>
      </c>
      <c r="AB10" s="20" t="s">
        <v>137</v>
      </c>
      <c r="AC10" s="28">
        <v>3</v>
      </c>
      <c r="AD10" s="6">
        <v>0.7</v>
      </c>
      <c r="AE10" s="6">
        <v>0.6</v>
      </c>
      <c r="AF10" s="6">
        <v>0.5</v>
      </c>
      <c r="AG10" s="6">
        <v>0.5</v>
      </c>
      <c r="AH10" s="68">
        <f t="shared" si="0"/>
        <v>0.97</v>
      </c>
      <c r="AI10" s="69">
        <f t="shared" si="1"/>
        <v>97</v>
      </c>
      <c r="AJ10" s="99" t="s">
        <v>309</v>
      </c>
      <c r="AK10" s="69">
        <f t="shared" si="2"/>
        <v>0.90713004130020858</v>
      </c>
    </row>
    <row r="11" spans="1:37" s="5" customFormat="1" ht="30" x14ac:dyDescent="0.25">
      <c r="A11" s="19">
        <v>8</v>
      </c>
      <c r="B11" s="9" t="s">
        <v>275</v>
      </c>
      <c r="C11" s="9" t="s">
        <v>277</v>
      </c>
      <c r="D11" s="15" t="s">
        <v>278</v>
      </c>
      <c r="E11" s="19" t="s">
        <v>115</v>
      </c>
      <c r="F11" s="6">
        <v>1</v>
      </c>
      <c r="G11" s="6" t="s">
        <v>279</v>
      </c>
      <c r="H11" s="6" t="s">
        <v>117</v>
      </c>
      <c r="I11" s="4" t="s">
        <v>118</v>
      </c>
      <c r="J11" s="6" t="s">
        <v>280</v>
      </c>
      <c r="K11" s="21" t="s">
        <v>279</v>
      </c>
      <c r="L11" s="11" t="s">
        <v>167</v>
      </c>
      <c r="M11" s="6" t="s">
        <v>196</v>
      </c>
      <c r="N11" s="6" t="s">
        <v>196</v>
      </c>
      <c r="O11" s="6" t="s">
        <v>167</v>
      </c>
      <c r="P11" s="6" t="s">
        <v>180</v>
      </c>
      <c r="Q11" s="4" t="s">
        <v>279</v>
      </c>
      <c r="R11" s="4" t="s">
        <v>143</v>
      </c>
      <c r="S11" s="4" t="s">
        <v>143</v>
      </c>
      <c r="T11" s="10" t="s">
        <v>186</v>
      </c>
      <c r="U11" s="25" t="s">
        <v>196</v>
      </c>
      <c r="V11" s="6" t="s">
        <v>196</v>
      </c>
      <c r="W11" s="6" t="s">
        <v>130</v>
      </c>
      <c r="X11" s="61" t="s">
        <v>196</v>
      </c>
      <c r="Y11" s="61" t="s">
        <v>196</v>
      </c>
      <c r="Z11" s="60" t="s">
        <v>196</v>
      </c>
      <c r="AA11" s="6" t="s">
        <v>185</v>
      </c>
      <c r="AB11" s="20" t="s">
        <v>196</v>
      </c>
      <c r="AC11" s="28">
        <v>3</v>
      </c>
      <c r="AD11" s="6">
        <v>0.7</v>
      </c>
      <c r="AE11" s="6">
        <v>0.05</v>
      </c>
      <c r="AF11" s="6">
        <v>0.25</v>
      </c>
      <c r="AG11" s="6">
        <v>0.5</v>
      </c>
      <c r="AH11" s="68">
        <f>1-(1-AD11)*(1-AE11)*(1-AF11)*(1-AG11)</f>
        <v>0.89312499999999995</v>
      </c>
      <c r="AI11" s="69">
        <f t="shared" si="1"/>
        <v>89.3125</v>
      </c>
      <c r="AJ11" s="98" t="s">
        <v>143</v>
      </c>
      <c r="AK11" s="69">
        <f t="shared" si="2"/>
        <v>0.69649689975213147</v>
      </c>
    </row>
    <row r="12" spans="1:37" s="5" customFormat="1" ht="30" x14ac:dyDescent="0.25">
      <c r="A12" s="19">
        <v>9</v>
      </c>
      <c r="B12" s="9" t="s">
        <v>36</v>
      </c>
      <c r="C12" s="9" t="s">
        <v>70</v>
      </c>
      <c r="D12" s="15" t="s">
        <v>71</v>
      </c>
      <c r="E12" s="19" t="s">
        <v>145</v>
      </c>
      <c r="F12" s="6">
        <v>2</v>
      </c>
      <c r="G12" s="6">
        <v>78</v>
      </c>
      <c r="H12" s="6" t="s">
        <v>117</v>
      </c>
      <c r="I12" s="4" t="s">
        <v>118</v>
      </c>
      <c r="J12" s="6" t="s">
        <v>119</v>
      </c>
      <c r="K12" s="21">
        <v>8</v>
      </c>
      <c r="L12" s="11" t="s">
        <v>136</v>
      </c>
      <c r="M12" s="6" t="s">
        <v>147</v>
      </c>
      <c r="N12" s="6" t="s">
        <v>148</v>
      </c>
      <c r="O12" s="6" t="s">
        <v>149</v>
      </c>
      <c r="P12" s="6" t="s">
        <v>286</v>
      </c>
      <c r="Q12" s="4" t="s">
        <v>150</v>
      </c>
      <c r="R12" s="4" t="s">
        <v>125</v>
      </c>
      <c r="S12" s="4" t="s">
        <v>126</v>
      </c>
      <c r="T12" s="10" t="s">
        <v>151</v>
      </c>
      <c r="U12" s="25" t="s">
        <v>177</v>
      </c>
      <c r="V12" s="6" t="s">
        <v>129</v>
      </c>
      <c r="W12" s="6" t="s">
        <v>130</v>
      </c>
      <c r="X12" s="6" t="s">
        <v>0</v>
      </c>
      <c r="Y12" s="6" t="s">
        <v>0</v>
      </c>
      <c r="Z12" s="9" t="s">
        <v>0</v>
      </c>
      <c r="AA12" s="6" t="s">
        <v>197</v>
      </c>
      <c r="AB12" s="21" t="s">
        <v>141</v>
      </c>
      <c r="AC12" s="28">
        <v>1</v>
      </c>
      <c r="AD12" s="6">
        <v>0.3</v>
      </c>
      <c r="AE12" s="6">
        <v>0.6</v>
      </c>
      <c r="AF12" s="6">
        <v>0</v>
      </c>
      <c r="AG12" s="6">
        <v>0.3</v>
      </c>
      <c r="AH12" s="68">
        <f t="shared" si="0"/>
        <v>0.80400000000000005</v>
      </c>
      <c r="AI12" s="69">
        <f t="shared" si="1"/>
        <v>80.400000000000006</v>
      </c>
      <c r="AJ12" s="98" t="s">
        <v>143</v>
      </c>
      <c r="AK12" s="69">
        <f t="shared" si="2"/>
        <v>0.49753009518937347</v>
      </c>
    </row>
    <row r="13" spans="1:37" s="5" customFormat="1" ht="60" x14ac:dyDescent="0.25">
      <c r="A13" s="19">
        <v>10</v>
      </c>
      <c r="B13" s="9" t="s">
        <v>37</v>
      </c>
      <c r="C13" s="9" t="s">
        <v>72</v>
      </c>
      <c r="D13" s="15" t="s">
        <v>73</v>
      </c>
      <c r="E13" s="19" t="s">
        <v>145</v>
      </c>
      <c r="F13" s="6">
        <v>1</v>
      </c>
      <c r="G13" s="6">
        <v>60</v>
      </c>
      <c r="H13" s="6" t="s">
        <v>117</v>
      </c>
      <c r="I13" s="4" t="s">
        <v>118</v>
      </c>
      <c r="J13" s="6" t="s">
        <v>152</v>
      </c>
      <c r="K13" s="21">
        <v>8</v>
      </c>
      <c r="L13" s="11" t="s">
        <v>136</v>
      </c>
      <c r="M13" s="6" t="s">
        <v>182</v>
      </c>
      <c r="N13" s="6" t="s">
        <v>122</v>
      </c>
      <c r="O13" s="6" t="s">
        <v>123</v>
      </c>
      <c r="P13" s="6" t="s">
        <v>287</v>
      </c>
      <c r="Q13" s="4" t="s">
        <v>124</v>
      </c>
      <c r="R13" s="4" t="s">
        <v>143</v>
      </c>
      <c r="S13" s="4" t="s">
        <v>143</v>
      </c>
      <c r="T13" s="10" t="s">
        <v>300</v>
      </c>
      <c r="U13" s="25" t="s">
        <v>146</v>
      </c>
      <c r="V13" s="6" t="s">
        <v>129</v>
      </c>
      <c r="W13" s="6" t="s">
        <v>130</v>
      </c>
      <c r="X13" s="6" t="s">
        <v>0</v>
      </c>
      <c r="Y13" s="6" t="s">
        <v>0</v>
      </c>
      <c r="Z13" s="9" t="s">
        <v>0</v>
      </c>
      <c r="AA13" s="6" t="s">
        <v>185</v>
      </c>
      <c r="AB13" s="21" t="s">
        <v>137</v>
      </c>
      <c r="AC13" s="28">
        <v>1</v>
      </c>
      <c r="AD13" s="6">
        <v>0.7</v>
      </c>
      <c r="AE13" s="6">
        <v>0.05</v>
      </c>
      <c r="AF13" s="6">
        <v>0.5</v>
      </c>
      <c r="AG13" s="6">
        <v>0.5</v>
      </c>
      <c r="AH13" s="68">
        <f t="shared" si="0"/>
        <v>0.92874999999999996</v>
      </c>
      <c r="AI13" s="69">
        <f t="shared" si="1"/>
        <v>92.875</v>
      </c>
      <c r="AJ13" s="99" t="s">
        <v>309</v>
      </c>
      <c r="AK13" s="69">
        <f t="shared" si="2"/>
        <v>0.7893620547009822</v>
      </c>
    </row>
    <row r="14" spans="1:37" s="5" customFormat="1" ht="30" x14ac:dyDescent="0.25">
      <c r="A14" s="19">
        <v>11</v>
      </c>
      <c r="B14" s="9" t="s">
        <v>38</v>
      </c>
      <c r="C14" s="9" t="s">
        <v>74</v>
      </c>
      <c r="D14" s="15" t="s">
        <v>75</v>
      </c>
      <c r="E14" s="19" t="s">
        <v>145</v>
      </c>
      <c r="F14" s="6">
        <v>1</v>
      </c>
      <c r="G14" s="6">
        <v>72</v>
      </c>
      <c r="H14" s="6" t="s">
        <v>117</v>
      </c>
      <c r="I14" s="4" t="s">
        <v>118</v>
      </c>
      <c r="J14" s="6" t="s">
        <v>119</v>
      </c>
      <c r="K14" s="21">
        <v>2</v>
      </c>
      <c r="L14" s="11" t="s">
        <v>136</v>
      </c>
      <c r="M14" s="6" t="s">
        <v>182</v>
      </c>
      <c r="N14" s="6" t="s">
        <v>122</v>
      </c>
      <c r="O14" s="6" t="s">
        <v>123</v>
      </c>
      <c r="P14" s="6">
        <v>2021</v>
      </c>
      <c r="Q14" s="4" t="s">
        <v>124</v>
      </c>
      <c r="R14" s="4" t="s">
        <v>125</v>
      </c>
      <c r="S14" s="4" t="s">
        <v>154</v>
      </c>
      <c r="T14" s="10" t="s">
        <v>300</v>
      </c>
      <c r="U14" s="25" t="s">
        <v>128</v>
      </c>
      <c r="V14" s="6" t="s">
        <v>155</v>
      </c>
      <c r="W14" s="6" t="s">
        <v>130</v>
      </c>
      <c r="X14" s="41" t="s">
        <v>1</v>
      </c>
      <c r="Y14" s="6" t="s">
        <v>0</v>
      </c>
      <c r="Z14" s="9" t="s">
        <v>0</v>
      </c>
      <c r="AA14" s="6" t="s">
        <v>197</v>
      </c>
      <c r="AB14" s="21" t="s">
        <v>137</v>
      </c>
      <c r="AC14" s="28">
        <v>1</v>
      </c>
      <c r="AD14" s="6">
        <v>0.7</v>
      </c>
      <c r="AE14" s="6">
        <v>0.05</v>
      </c>
      <c r="AF14" s="6">
        <v>0.25</v>
      </c>
      <c r="AG14" s="6">
        <v>0.3</v>
      </c>
      <c r="AH14" s="68">
        <f t="shared" si="0"/>
        <v>0.85037499999999999</v>
      </c>
      <c r="AI14" s="69">
        <f t="shared" si="1"/>
        <v>85.037499999999994</v>
      </c>
      <c r="AJ14" s="98" t="s">
        <v>143</v>
      </c>
      <c r="AK14" s="69">
        <f t="shared" si="2"/>
        <v>0.59532421599202678</v>
      </c>
    </row>
    <row r="15" spans="1:37" s="5" customFormat="1" ht="45" x14ac:dyDescent="0.25">
      <c r="A15" s="19">
        <v>12</v>
      </c>
      <c r="B15" s="9" t="s">
        <v>183</v>
      </c>
      <c r="C15" s="9" t="s">
        <v>76</v>
      </c>
      <c r="D15" s="15" t="s">
        <v>77</v>
      </c>
      <c r="E15" s="19" t="s">
        <v>145</v>
      </c>
      <c r="F15" s="6">
        <v>1</v>
      </c>
      <c r="G15" s="6">
        <v>72</v>
      </c>
      <c r="H15" s="6" t="s">
        <v>117</v>
      </c>
      <c r="I15" s="4" t="s">
        <v>118</v>
      </c>
      <c r="J15" s="6" t="s">
        <v>156</v>
      </c>
      <c r="K15" s="21">
        <v>3</v>
      </c>
      <c r="L15" s="11" t="s">
        <v>136</v>
      </c>
      <c r="M15" s="6" t="s">
        <v>182</v>
      </c>
      <c r="N15" s="6" t="s">
        <v>122</v>
      </c>
      <c r="O15" s="6" t="s">
        <v>149</v>
      </c>
      <c r="P15" s="6">
        <v>2006</v>
      </c>
      <c r="Q15" s="4" t="s">
        <v>124</v>
      </c>
      <c r="R15" s="4" t="s">
        <v>154</v>
      </c>
      <c r="S15" s="4" t="s">
        <v>126</v>
      </c>
      <c r="T15" s="10" t="s">
        <v>300</v>
      </c>
      <c r="U15" s="25" t="s">
        <v>157</v>
      </c>
      <c r="V15" s="6" t="s">
        <v>129</v>
      </c>
      <c r="W15" s="6" t="s">
        <v>130</v>
      </c>
      <c r="X15" s="6" t="s">
        <v>0</v>
      </c>
      <c r="Y15" s="40" t="s">
        <v>2</v>
      </c>
      <c r="Z15" s="9" t="s">
        <v>0</v>
      </c>
      <c r="AA15" s="6" t="s">
        <v>185</v>
      </c>
      <c r="AB15" s="21" t="s">
        <v>137</v>
      </c>
      <c r="AC15" s="28">
        <v>1</v>
      </c>
      <c r="AD15" s="6">
        <v>0.7</v>
      </c>
      <c r="AE15" s="6">
        <v>0.05</v>
      </c>
      <c r="AF15" s="6">
        <v>0.25</v>
      </c>
      <c r="AG15" s="6">
        <v>0.3</v>
      </c>
      <c r="AH15" s="68">
        <f t="shared" si="0"/>
        <v>0.85037499999999999</v>
      </c>
      <c r="AI15" s="69">
        <f t="shared" si="1"/>
        <v>85.037499999999994</v>
      </c>
      <c r="AJ15" s="98" t="s">
        <v>143</v>
      </c>
      <c r="AK15" s="69">
        <f t="shared" si="2"/>
        <v>0.59532421599202678</v>
      </c>
    </row>
    <row r="16" spans="1:37" s="5" customFormat="1" ht="30" x14ac:dyDescent="0.25">
      <c r="A16" s="19">
        <v>13</v>
      </c>
      <c r="B16" s="9" t="s">
        <v>39</v>
      </c>
      <c r="C16" s="9" t="s">
        <v>78</v>
      </c>
      <c r="D16" s="15" t="s">
        <v>79</v>
      </c>
      <c r="E16" s="19" t="s">
        <v>115</v>
      </c>
      <c r="F16" s="6">
        <v>1</v>
      </c>
      <c r="G16" s="6">
        <v>72</v>
      </c>
      <c r="H16" s="6" t="s">
        <v>117</v>
      </c>
      <c r="I16" s="4" t="s">
        <v>118</v>
      </c>
      <c r="J16" s="6" t="s">
        <v>119</v>
      </c>
      <c r="K16" s="21">
        <v>3</v>
      </c>
      <c r="L16" s="11" t="s">
        <v>158</v>
      </c>
      <c r="M16" s="6" t="s">
        <v>182</v>
      </c>
      <c r="N16" s="6" t="s">
        <v>159</v>
      </c>
      <c r="O16" s="6" t="s">
        <v>149</v>
      </c>
      <c r="P16" s="6">
        <v>2000</v>
      </c>
      <c r="Q16" s="4" t="s">
        <v>160</v>
      </c>
      <c r="R16" s="4" t="s">
        <v>125</v>
      </c>
      <c r="S16" s="4" t="s">
        <v>126</v>
      </c>
      <c r="T16" s="10" t="s">
        <v>134</v>
      </c>
      <c r="U16" s="25" t="s">
        <v>177</v>
      </c>
      <c r="V16" s="6" t="s">
        <v>129</v>
      </c>
      <c r="W16" s="6" t="s">
        <v>130</v>
      </c>
      <c r="X16" s="6" t="s">
        <v>0</v>
      </c>
      <c r="Y16" s="6" t="s">
        <v>0</v>
      </c>
      <c r="Z16" s="6" t="s">
        <v>0</v>
      </c>
      <c r="AA16" s="6" t="s">
        <v>197</v>
      </c>
      <c r="AB16" s="21" t="s">
        <v>137</v>
      </c>
      <c r="AC16" s="28">
        <v>1</v>
      </c>
      <c r="AD16" s="6">
        <v>0.5</v>
      </c>
      <c r="AE16" s="6">
        <v>0.05</v>
      </c>
      <c r="AF16" s="6">
        <v>0</v>
      </c>
      <c r="AG16" s="6">
        <v>0.3</v>
      </c>
      <c r="AH16" s="68">
        <f t="shared" si="0"/>
        <v>0.66749999999999998</v>
      </c>
      <c r="AI16" s="69">
        <f t="shared" si="1"/>
        <v>66.75</v>
      </c>
      <c r="AJ16" s="100" t="s">
        <v>154</v>
      </c>
      <c r="AK16" s="69">
        <f t="shared" si="2"/>
        <v>0.27431153103914752</v>
      </c>
    </row>
    <row r="17" spans="1:37" s="5" customFormat="1" ht="30" x14ac:dyDescent="0.25">
      <c r="A17" s="19">
        <v>14</v>
      </c>
      <c r="B17" s="9" t="s">
        <v>40</v>
      </c>
      <c r="C17" s="9" t="s">
        <v>80</v>
      </c>
      <c r="D17" s="15" t="s">
        <v>81</v>
      </c>
      <c r="E17" s="19" t="s">
        <v>115</v>
      </c>
      <c r="F17" s="6">
        <v>1</v>
      </c>
      <c r="G17" s="6">
        <v>72</v>
      </c>
      <c r="H17" s="6" t="s">
        <v>117</v>
      </c>
      <c r="I17" s="4" t="s">
        <v>118</v>
      </c>
      <c r="J17" s="6" t="s">
        <v>119</v>
      </c>
      <c r="K17" s="21">
        <v>3</v>
      </c>
      <c r="L17" s="11" t="s">
        <v>158</v>
      </c>
      <c r="M17" s="6" t="s">
        <v>182</v>
      </c>
      <c r="N17" s="6" t="s">
        <v>159</v>
      </c>
      <c r="O17" s="6" t="s">
        <v>149</v>
      </c>
      <c r="P17" s="6">
        <v>2004</v>
      </c>
      <c r="Q17" s="4" t="s">
        <v>161</v>
      </c>
      <c r="R17" s="4" t="s">
        <v>125</v>
      </c>
      <c r="S17" s="4" t="s">
        <v>126</v>
      </c>
      <c r="T17" s="10" t="s">
        <v>134</v>
      </c>
      <c r="U17" s="25" t="s">
        <v>177</v>
      </c>
      <c r="V17" s="6" t="s">
        <v>129</v>
      </c>
      <c r="W17" s="6" t="s">
        <v>130</v>
      </c>
      <c r="X17" s="6" t="s">
        <v>0</v>
      </c>
      <c r="Y17" s="6" t="s">
        <v>0</v>
      </c>
      <c r="Z17" s="6" t="s">
        <v>0</v>
      </c>
      <c r="AA17" s="6" t="s">
        <v>197</v>
      </c>
      <c r="AB17" s="21" t="s">
        <v>137</v>
      </c>
      <c r="AC17" s="28">
        <v>1</v>
      </c>
      <c r="AD17" s="6">
        <v>0.5</v>
      </c>
      <c r="AE17" s="6">
        <v>0.05</v>
      </c>
      <c r="AF17" s="6">
        <v>0</v>
      </c>
      <c r="AG17" s="6">
        <v>0.3</v>
      </c>
      <c r="AH17" s="68">
        <f t="shared" si="0"/>
        <v>0.66749999999999998</v>
      </c>
      <c r="AI17" s="69">
        <f t="shared" si="1"/>
        <v>66.75</v>
      </c>
      <c r="AJ17" s="100" t="s">
        <v>154</v>
      </c>
      <c r="AK17" s="69">
        <f t="shared" si="2"/>
        <v>0.27431153103914752</v>
      </c>
    </row>
    <row r="18" spans="1:37" s="5" customFormat="1" ht="30" x14ac:dyDescent="0.25">
      <c r="A18" s="19">
        <v>15</v>
      </c>
      <c r="B18" s="9" t="s">
        <v>41</v>
      </c>
      <c r="C18" s="9" t="s">
        <v>82</v>
      </c>
      <c r="D18" s="15" t="s">
        <v>83</v>
      </c>
      <c r="E18" s="19" t="s">
        <v>145</v>
      </c>
      <c r="F18" s="6">
        <v>1</v>
      </c>
      <c r="G18" s="6">
        <v>72</v>
      </c>
      <c r="H18" s="6" t="s">
        <v>117</v>
      </c>
      <c r="I18" s="4" t="s">
        <v>118</v>
      </c>
      <c r="J18" s="6" t="s">
        <v>119</v>
      </c>
      <c r="K18" s="21">
        <v>2</v>
      </c>
      <c r="L18" s="11" t="s">
        <v>158</v>
      </c>
      <c r="M18" s="6" t="s">
        <v>182</v>
      </c>
      <c r="N18" s="6" t="s">
        <v>159</v>
      </c>
      <c r="O18" s="6" t="s">
        <v>149</v>
      </c>
      <c r="P18" s="6">
        <v>2014</v>
      </c>
      <c r="Q18" s="4" t="s">
        <v>124</v>
      </c>
      <c r="R18" s="4" t="s">
        <v>154</v>
      </c>
      <c r="S18" s="4" t="s">
        <v>126</v>
      </c>
      <c r="T18" s="10" t="s">
        <v>134</v>
      </c>
      <c r="U18" s="25" t="s">
        <v>177</v>
      </c>
      <c r="V18" s="6" t="s">
        <v>129</v>
      </c>
      <c r="W18" s="6" t="s">
        <v>130</v>
      </c>
      <c r="X18" s="6" t="s">
        <v>0</v>
      </c>
      <c r="Y18" s="6" t="s">
        <v>0</v>
      </c>
      <c r="Z18" s="6" t="s">
        <v>0</v>
      </c>
      <c r="AA18" s="6" t="s">
        <v>197</v>
      </c>
      <c r="AB18" s="21" t="s">
        <v>137</v>
      </c>
      <c r="AC18" s="28">
        <v>1</v>
      </c>
      <c r="AD18" s="6">
        <v>0.5</v>
      </c>
      <c r="AE18" s="6">
        <v>0.05</v>
      </c>
      <c r="AF18" s="6">
        <v>0</v>
      </c>
      <c r="AG18" s="6">
        <v>0.3</v>
      </c>
      <c r="AH18" s="68">
        <f t="shared" si="0"/>
        <v>0.66749999999999998</v>
      </c>
      <c r="AI18" s="69">
        <f t="shared" si="1"/>
        <v>66.75</v>
      </c>
      <c r="AJ18" s="100" t="s">
        <v>154</v>
      </c>
      <c r="AK18" s="69">
        <f t="shared" si="2"/>
        <v>0.27431153103914752</v>
      </c>
    </row>
    <row r="19" spans="1:37" s="5" customFormat="1" ht="30" x14ac:dyDescent="0.25">
      <c r="A19" s="19">
        <v>16</v>
      </c>
      <c r="B19" s="9" t="s">
        <v>42</v>
      </c>
      <c r="C19" s="9" t="s">
        <v>84</v>
      </c>
      <c r="D19" s="15" t="s">
        <v>85</v>
      </c>
      <c r="E19" s="19" t="s">
        <v>145</v>
      </c>
      <c r="F19" s="6">
        <v>2</v>
      </c>
      <c r="G19" s="6">
        <v>72</v>
      </c>
      <c r="H19" s="6" t="s">
        <v>117</v>
      </c>
      <c r="I19" s="4" t="s">
        <v>118</v>
      </c>
      <c r="J19" s="6" t="s">
        <v>119</v>
      </c>
      <c r="K19" s="21" t="s">
        <v>162</v>
      </c>
      <c r="L19" s="11" t="s">
        <v>136</v>
      </c>
      <c r="M19" s="6" t="s">
        <v>121</v>
      </c>
      <c r="N19" s="6" t="s">
        <v>159</v>
      </c>
      <c r="O19" s="6" t="s">
        <v>184</v>
      </c>
      <c r="P19" s="6" t="s">
        <v>140</v>
      </c>
      <c r="Q19" s="4" t="s">
        <v>150</v>
      </c>
      <c r="R19" s="4" t="s">
        <v>125</v>
      </c>
      <c r="S19" s="4" t="s">
        <v>126</v>
      </c>
      <c r="T19" s="10" t="s">
        <v>134</v>
      </c>
      <c r="U19" s="25" t="s">
        <v>177</v>
      </c>
      <c r="V19" s="6" t="s">
        <v>129</v>
      </c>
      <c r="W19" s="6" t="s">
        <v>130</v>
      </c>
      <c r="X19" s="6" t="s">
        <v>0</v>
      </c>
      <c r="Y19" s="6" t="s">
        <v>0</v>
      </c>
      <c r="Z19" s="6" t="s">
        <v>0</v>
      </c>
      <c r="AA19" s="6" t="s">
        <v>197</v>
      </c>
      <c r="AB19" s="21" t="s">
        <v>137</v>
      </c>
      <c r="AC19" s="28">
        <v>1</v>
      </c>
      <c r="AD19" s="6">
        <v>0.5</v>
      </c>
      <c r="AE19" s="6">
        <v>0.6</v>
      </c>
      <c r="AF19" s="6">
        <v>0</v>
      </c>
      <c r="AG19" s="6">
        <v>0.5</v>
      </c>
      <c r="AH19" s="68">
        <f t="shared" si="0"/>
        <v>0.9</v>
      </c>
      <c r="AI19" s="69">
        <f t="shared" si="1"/>
        <v>90</v>
      </c>
      <c r="AJ19" s="99" t="s">
        <v>311</v>
      </c>
      <c r="AK19" s="69">
        <f t="shared" si="2"/>
        <v>0.71379915616115208</v>
      </c>
    </row>
    <row r="20" spans="1:37" s="5" customFormat="1" ht="30" x14ac:dyDescent="0.25">
      <c r="A20" s="19">
        <v>17</v>
      </c>
      <c r="B20" s="9" t="s">
        <v>43</v>
      </c>
      <c r="C20" s="9" t="s">
        <v>86</v>
      </c>
      <c r="D20" s="15" t="s">
        <v>87</v>
      </c>
      <c r="E20" s="19" t="s">
        <v>145</v>
      </c>
      <c r="F20" s="6">
        <v>2</v>
      </c>
      <c r="G20" s="6">
        <v>72</v>
      </c>
      <c r="H20" s="6" t="s">
        <v>117</v>
      </c>
      <c r="I20" s="4" t="s">
        <v>118</v>
      </c>
      <c r="J20" s="6" t="s">
        <v>119</v>
      </c>
      <c r="K20" s="21">
        <v>3</v>
      </c>
      <c r="L20" s="11" t="s">
        <v>136</v>
      </c>
      <c r="M20" s="6" t="s">
        <v>163</v>
      </c>
      <c r="N20" s="6" t="s">
        <v>164</v>
      </c>
      <c r="O20" s="6" t="s">
        <v>149</v>
      </c>
      <c r="P20" s="6">
        <v>2003</v>
      </c>
      <c r="Q20" s="4" t="s">
        <v>150</v>
      </c>
      <c r="R20" s="4" t="s">
        <v>125</v>
      </c>
      <c r="S20" s="4" t="s">
        <v>126</v>
      </c>
      <c r="T20" s="10" t="s">
        <v>134</v>
      </c>
      <c r="U20" s="25" t="s">
        <v>177</v>
      </c>
      <c r="V20" s="6" t="s">
        <v>129</v>
      </c>
      <c r="W20" s="6" t="s">
        <v>130</v>
      </c>
      <c r="X20" s="6" t="s">
        <v>0</v>
      </c>
      <c r="Y20" s="6" t="s">
        <v>0</v>
      </c>
      <c r="Z20" s="6" t="s">
        <v>0</v>
      </c>
      <c r="AA20" s="6" t="s">
        <v>197</v>
      </c>
      <c r="AB20" s="21" t="s">
        <v>137</v>
      </c>
      <c r="AC20" s="28">
        <v>1</v>
      </c>
      <c r="AD20" s="6">
        <v>0.5</v>
      </c>
      <c r="AE20" s="6">
        <v>0.05</v>
      </c>
      <c r="AF20" s="6">
        <v>0</v>
      </c>
      <c r="AG20" s="6">
        <v>0.5</v>
      </c>
      <c r="AH20" s="68">
        <f t="shared" si="0"/>
        <v>0.76249999999999996</v>
      </c>
      <c r="AI20" s="69">
        <f t="shared" si="1"/>
        <v>76.25</v>
      </c>
      <c r="AJ20" s="101" t="s">
        <v>310</v>
      </c>
      <c r="AK20" s="69">
        <f t="shared" si="2"/>
        <v>0.41992092232853029</v>
      </c>
    </row>
    <row r="21" spans="1:37" s="5" customFormat="1" ht="30" x14ac:dyDescent="0.25">
      <c r="A21" s="19">
        <v>18</v>
      </c>
      <c r="B21" s="9" t="s">
        <v>44</v>
      </c>
      <c r="C21" s="9" t="s">
        <v>88</v>
      </c>
      <c r="D21" s="15" t="s">
        <v>89</v>
      </c>
      <c r="E21" s="19" t="s">
        <v>115</v>
      </c>
      <c r="F21" s="6">
        <v>1</v>
      </c>
      <c r="G21" s="6">
        <v>72</v>
      </c>
      <c r="H21" s="6" t="s">
        <v>117</v>
      </c>
      <c r="I21" s="4" t="s">
        <v>118</v>
      </c>
      <c r="J21" s="6" t="s">
        <v>152</v>
      </c>
      <c r="K21" s="21">
        <v>1</v>
      </c>
      <c r="L21" s="11" t="s">
        <v>136</v>
      </c>
      <c r="M21" s="6" t="s">
        <v>182</v>
      </c>
      <c r="N21" s="6" t="s">
        <v>122</v>
      </c>
      <c r="O21" s="6" t="s">
        <v>149</v>
      </c>
      <c r="P21" s="6">
        <v>2008</v>
      </c>
      <c r="Q21" s="4" t="s">
        <v>124</v>
      </c>
      <c r="R21" s="4" t="s">
        <v>154</v>
      </c>
      <c r="S21" s="4" t="s">
        <v>154</v>
      </c>
      <c r="T21" s="10" t="s">
        <v>300</v>
      </c>
      <c r="U21" s="25" t="s">
        <v>177</v>
      </c>
      <c r="V21" s="6" t="s">
        <v>129</v>
      </c>
      <c r="W21" s="6" t="s">
        <v>130</v>
      </c>
      <c r="X21" s="6" t="s">
        <v>0</v>
      </c>
      <c r="Y21" s="6" t="s">
        <v>0</v>
      </c>
      <c r="Z21" s="6" t="s">
        <v>0</v>
      </c>
      <c r="AA21" s="6" t="s">
        <v>197</v>
      </c>
      <c r="AB21" s="21" t="s">
        <v>165</v>
      </c>
      <c r="AC21" s="28">
        <v>1</v>
      </c>
      <c r="AD21" s="6">
        <v>0.5</v>
      </c>
      <c r="AE21" s="6">
        <v>0.05</v>
      </c>
      <c r="AF21" s="6">
        <v>0</v>
      </c>
      <c r="AG21" s="6">
        <v>0.5</v>
      </c>
      <c r="AH21" s="68">
        <f t="shared" si="0"/>
        <v>0.76249999999999996</v>
      </c>
      <c r="AI21" s="69">
        <f t="shared" si="1"/>
        <v>76.25</v>
      </c>
      <c r="AJ21" s="101" t="s">
        <v>310</v>
      </c>
      <c r="AK21" s="69">
        <f t="shared" si="2"/>
        <v>0.41992092232853029</v>
      </c>
    </row>
    <row r="22" spans="1:37" s="5" customFormat="1" ht="30" x14ac:dyDescent="0.25">
      <c r="A22" s="19">
        <v>19</v>
      </c>
      <c r="B22" s="9" t="s">
        <v>45</v>
      </c>
      <c r="C22" s="9" t="s">
        <v>90</v>
      </c>
      <c r="D22" s="15" t="s">
        <v>81</v>
      </c>
      <c r="E22" s="19" t="s">
        <v>115</v>
      </c>
      <c r="F22" s="6">
        <v>1</v>
      </c>
      <c r="G22" s="6">
        <v>72</v>
      </c>
      <c r="H22" s="6" t="s">
        <v>117</v>
      </c>
      <c r="I22" s="4" t="s">
        <v>118</v>
      </c>
      <c r="J22" s="6" t="s">
        <v>166</v>
      </c>
      <c r="K22" s="21">
        <v>4</v>
      </c>
      <c r="L22" s="11" t="s">
        <v>167</v>
      </c>
      <c r="M22" s="6" t="s">
        <v>182</v>
      </c>
      <c r="N22" s="6" t="s">
        <v>159</v>
      </c>
      <c r="O22" s="6" t="s">
        <v>149</v>
      </c>
      <c r="P22" s="6" t="s">
        <v>180</v>
      </c>
      <c r="Q22" s="4" t="s">
        <v>161</v>
      </c>
      <c r="R22" s="4" t="s">
        <v>154</v>
      </c>
      <c r="S22" s="4" t="s">
        <v>154</v>
      </c>
      <c r="T22" s="10" t="s">
        <v>134</v>
      </c>
      <c r="U22" s="25" t="s">
        <v>177</v>
      </c>
      <c r="V22" s="6" t="s">
        <v>129</v>
      </c>
      <c r="W22" s="6" t="s">
        <v>130</v>
      </c>
      <c r="X22" s="6" t="s">
        <v>0</v>
      </c>
      <c r="Y22" s="6" t="s">
        <v>0</v>
      </c>
      <c r="Z22" s="6" t="s">
        <v>0</v>
      </c>
      <c r="AA22" s="6" t="s">
        <v>197</v>
      </c>
      <c r="AB22" s="21" t="s">
        <v>137</v>
      </c>
      <c r="AC22" s="28">
        <v>1</v>
      </c>
      <c r="AD22" s="6">
        <v>0.5</v>
      </c>
      <c r="AE22" s="6">
        <v>0.05</v>
      </c>
      <c r="AF22" s="6">
        <v>0</v>
      </c>
      <c r="AG22" s="6">
        <v>0.5</v>
      </c>
      <c r="AH22" s="68">
        <f t="shared" si="0"/>
        <v>0.76249999999999996</v>
      </c>
      <c r="AI22" s="69">
        <f t="shared" si="1"/>
        <v>76.25</v>
      </c>
      <c r="AJ22" s="101" t="s">
        <v>310</v>
      </c>
      <c r="AK22" s="69">
        <f t="shared" si="2"/>
        <v>0.41992092232853029</v>
      </c>
    </row>
    <row r="23" spans="1:37" s="5" customFormat="1" ht="60" customHeight="1" x14ac:dyDescent="0.25">
      <c r="A23" s="19">
        <v>20</v>
      </c>
      <c r="B23" s="9" t="s">
        <v>46</v>
      </c>
      <c r="C23" s="9" t="s">
        <v>91</v>
      </c>
      <c r="D23" s="15" t="s">
        <v>92</v>
      </c>
      <c r="E23" s="19" t="s">
        <v>115</v>
      </c>
      <c r="F23" s="6">
        <v>3</v>
      </c>
      <c r="G23" s="6">
        <v>72</v>
      </c>
      <c r="H23" s="6" t="s">
        <v>117</v>
      </c>
      <c r="I23" s="4" t="s">
        <v>118</v>
      </c>
      <c r="J23" s="6" t="s">
        <v>119</v>
      </c>
      <c r="K23" s="21">
        <v>3</v>
      </c>
      <c r="L23" s="11" t="s">
        <v>167</v>
      </c>
      <c r="M23" s="6" t="s">
        <v>163</v>
      </c>
      <c r="N23" s="6" t="s">
        <v>164</v>
      </c>
      <c r="O23" s="6" t="s">
        <v>149</v>
      </c>
      <c r="P23" s="6" t="s">
        <v>180</v>
      </c>
      <c r="Q23" s="4" t="s">
        <v>150</v>
      </c>
      <c r="R23" s="4" t="s">
        <v>154</v>
      </c>
      <c r="S23" s="4" t="s">
        <v>154</v>
      </c>
      <c r="T23" s="10" t="s">
        <v>186</v>
      </c>
      <c r="U23" s="25" t="s">
        <v>177</v>
      </c>
      <c r="V23" s="6" t="s">
        <v>129</v>
      </c>
      <c r="W23" s="6" t="s">
        <v>130</v>
      </c>
      <c r="X23" s="6" t="s">
        <v>0</v>
      </c>
      <c r="Y23" s="6" t="s">
        <v>0</v>
      </c>
      <c r="Z23" s="6" t="s">
        <v>0</v>
      </c>
      <c r="AA23" s="6" t="s">
        <v>197</v>
      </c>
      <c r="AB23" s="21" t="s">
        <v>137</v>
      </c>
      <c r="AC23" s="28">
        <v>1</v>
      </c>
      <c r="AD23" s="6">
        <v>0.7</v>
      </c>
      <c r="AE23" s="6">
        <v>0.6</v>
      </c>
      <c r="AF23" s="6">
        <v>0</v>
      </c>
      <c r="AG23" s="6">
        <v>0.5</v>
      </c>
      <c r="AH23" s="68">
        <f t="shared" si="0"/>
        <v>0.94</v>
      </c>
      <c r="AI23" s="69">
        <f t="shared" si="1"/>
        <v>94</v>
      </c>
      <c r="AJ23" s="99" t="s">
        <v>311</v>
      </c>
      <c r="AK23" s="69">
        <f t="shared" si="2"/>
        <v>0.82036879330444146</v>
      </c>
    </row>
    <row r="24" spans="1:37" s="5" customFormat="1" ht="60" x14ac:dyDescent="0.25">
      <c r="A24" s="19">
        <v>21</v>
      </c>
      <c r="B24" s="9" t="s">
        <v>47</v>
      </c>
      <c r="C24" s="9" t="s">
        <v>93</v>
      </c>
      <c r="D24" s="15" t="s">
        <v>94</v>
      </c>
      <c r="E24" s="19" t="s">
        <v>115</v>
      </c>
      <c r="F24" s="6">
        <v>3</v>
      </c>
      <c r="G24" s="6">
        <v>72</v>
      </c>
      <c r="H24" s="6" t="s">
        <v>168</v>
      </c>
      <c r="I24" s="4" t="s">
        <v>118</v>
      </c>
      <c r="J24" s="6" t="s">
        <v>119</v>
      </c>
      <c r="K24" s="21">
        <v>8</v>
      </c>
      <c r="L24" s="11" t="s">
        <v>136</v>
      </c>
      <c r="M24" s="6" t="s">
        <v>121</v>
      </c>
      <c r="N24" s="6" t="s">
        <v>169</v>
      </c>
      <c r="O24" s="6" t="s">
        <v>149</v>
      </c>
      <c r="P24" s="6">
        <v>2006</v>
      </c>
      <c r="Q24" s="4" t="s">
        <v>150</v>
      </c>
      <c r="R24" s="4" t="s">
        <v>125</v>
      </c>
      <c r="S24" s="4" t="s">
        <v>126</v>
      </c>
      <c r="T24" s="10" t="s">
        <v>134</v>
      </c>
      <c r="U24" s="25" t="s">
        <v>128</v>
      </c>
      <c r="V24" s="6" t="s">
        <v>129</v>
      </c>
      <c r="W24" s="6" t="s">
        <v>130</v>
      </c>
      <c r="X24" s="6" t="s">
        <v>0</v>
      </c>
      <c r="Y24" s="6" t="s">
        <v>0</v>
      </c>
      <c r="Z24" s="6" t="s">
        <v>0</v>
      </c>
      <c r="AA24" s="6" t="s">
        <v>197</v>
      </c>
      <c r="AB24" s="21" t="s">
        <v>137</v>
      </c>
      <c r="AC24" s="28">
        <v>1</v>
      </c>
      <c r="AD24" s="6">
        <v>0.5</v>
      </c>
      <c r="AE24" s="6">
        <v>0.6</v>
      </c>
      <c r="AF24" s="6">
        <v>0.25</v>
      </c>
      <c r="AG24" s="6">
        <v>0.5</v>
      </c>
      <c r="AH24" s="68">
        <f t="shared" si="0"/>
        <v>0.92500000000000004</v>
      </c>
      <c r="AI24" s="69">
        <f t="shared" si="1"/>
        <v>92.5</v>
      </c>
      <c r="AJ24" s="99" t="s">
        <v>311</v>
      </c>
      <c r="AK24" s="69">
        <f t="shared" si="2"/>
        <v>0.77920825485013756</v>
      </c>
    </row>
    <row r="25" spans="1:37" s="5" customFormat="1" ht="30" x14ac:dyDescent="0.25">
      <c r="A25" s="19">
        <v>22</v>
      </c>
      <c r="B25" s="9" t="s">
        <v>48</v>
      </c>
      <c r="C25" s="9" t="s">
        <v>97</v>
      </c>
      <c r="D25" s="15" t="s">
        <v>98</v>
      </c>
      <c r="E25" s="19" t="s">
        <v>145</v>
      </c>
      <c r="F25" s="6">
        <v>2</v>
      </c>
      <c r="G25" s="6">
        <v>36</v>
      </c>
      <c r="H25" s="6" t="s">
        <v>168</v>
      </c>
      <c r="I25" s="4" t="s">
        <v>118</v>
      </c>
      <c r="J25" s="6" t="s">
        <v>166</v>
      </c>
      <c r="K25" s="21">
        <v>2</v>
      </c>
      <c r="L25" s="11" t="s">
        <v>158</v>
      </c>
      <c r="M25" s="6" t="s">
        <v>163</v>
      </c>
      <c r="N25" s="6" t="s">
        <v>159</v>
      </c>
      <c r="O25" s="6" t="s">
        <v>149</v>
      </c>
      <c r="P25" s="6">
        <v>2002</v>
      </c>
      <c r="Q25" s="4" t="s">
        <v>124</v>
      </c>
      <c r="R25" s="4" t="s">
        <v>125</v>
      </c>
      <c r="S25" s="4" t="s">
        <v>126</v>
      </c>
      <c r="T25" s="10" t="s">
        <v>134</v>
      </c>
      <c r="U25" s="25" t="s">
        <v>128</v>
      </c>
      <c r="V25" s="6" t="s">
        <v>129</v>
      </c>
      <c r="W25" s="6" t="s">
        <v>130</v>
      </c>
      <c r="X25" s="40" t="s">
        <v>2</v>
      </c>
      <c r="Y25" s="6" t="s">
        <v>0</v>
      </c>
      <c r="Z25" s="6" t="s">
        <v>0</v>
      </c>
      <c r="AA25" s="6" t="s">
        <v>197</v>
      </c>
      <c r="AB25" s="21" t="s">
        <v>137</v>
      </c>
      <c r="AC25" s="28">
        <v>1</v>
      </c>
      <c r="AD25" s="6">
        <v>0.5</v>
      </c>
      <c r="AE25" s="6">
        <v>0.6</v>
      </c>
      <c r="AF25" s="6">
        <v>0.25</v>
      </c>
      <c r="AG25" s="6">
        <v>0.3</v>
      </c>
      <c r="AH25" s="68">
        <f t="shared" si="0"/>
        <v>0.89500000000000002</v>
      </c>
      <c r="AI25" s="69">
        <f t="shared" si="1"/>
        <v>89.5</v>
      </c>
      <c r="AJ25" s="98" t="s">
        <v>143</v>
      </c>
      <c r="AK25" s="69">
        <f t="shared" si="2"/>
        <v>0.70118676965305315</v>
      </c>
    </row>
    <row r="26" spans="1:37" s="5" customFormat="1" ht="30" x14ac:dyDescent="0.25">
      <c r="A26" s="19">
        <v>23</v>
      </c>
      <c r="B26" s="9" t="s">
        <v>50</v>
      </c>
      <c r="C26" s="9" t="s">
        <v>99</v>
      </c>
      <c r="D26" s="15" t="s">
        <v>100</v>
      </c>
      <c r="E26" s="19" t="s">
        <v>115</v>
      </c>
      <c r="F26" s="9">
        <v>2</v>
      </c>
      <c r="G26" s="9">
        <v>36</v>
      </c>
      <c r="H26" s="9" t="s">
        <v>117</v>
      </c>
      <c r="I26" s="3" t="s">
        <v>118</v>
      </c>
      <c r="J26" s="6" t="s">
        <v>166</v>
      </c>
      <c r="K26" s="20">
        <v>2</v>
      </c>
      <c r="L26" s="11" t="s">
        <v>158</v>
      </c>
      <c r="M26" s="6" t="s">
        <v>163</v>
      </c>
      <c r="N26" s="6" t="s">
        <v>122</v>
      </c>
      <c r="O26" s="9" t="s">
        <v>184</v>
      </c>
      <c r="P26" s="6">
        <v>2024</v>
      </c>
      <c r="Q26" s="4" t="s">
        <v>150</v>
      </c>
      <c r="R26" s="4" t="s">
        <v>125</v>
      </c>
      <c r="S26" s="4" t="s">
        <v>126</v>
      </c>
      <c r="T26" s="10" t="s">
        <v>134</v>
      </c>
      <c r="U26" s="25" t="s">
        <v>128</v>
      </c>
      <c r="V26" s="6" t="s">
        <v>170</v>
      </c>
      <c r="W26" s="6" t="s">
        <v>130</v>
      </c>
      <c r="X26" s="6" t="s">
        <v>0</v>
      </c>
      <c r="Y26" s="6" t="s">
        <v>0</v>
      </c>
      <c r="Z26" s="6" t="s">
        <v>0</v>
      </c>
      <c r="AA26" s="6" t="s">
        <v>197</v>
      </c>
      <c r="AB26" s="21" t="s">
        <v>137</v>
      </c>
      <c r="AC26" s="28">
        <v>1</v>
      </c>
      <c r="AD26" s="6">
        <v>0.5</v>
      </c>
      <c r="AE26" s="6">
        <v>0.6</v>
      </c>
      <c r="AF26" s="6">
        <v>0.25</v>
      </c>
      <c r="AG26" s="6">
        <v>0.7</v>
      </c>
      <c r="AH26" s="68">
        <f t="shared" si="0"/>
        <v>0.95499999999999996</v>
      </c>
      <c r="AI26" s="69">
        <f t="shared" si="1"/>
        <v>95.5</v>
      </c>
      <c r="AJ26" s="99" t="s">
        <v>311</v>
      </c>
      <c r="AK26" s="69">
        <f t="shared" si="2"/>
        <v>0.8629999867911009</v>
      </c>
    </row>
    <row r="27" spans="1:37" s="5" customFormat="1" ht="30" x14ac:dyDescent="0.25">
      <c r="A27" s="19">
        <v>24</v>
      </c>
      <c r="B27" s="9" t="s">
        <v>49</v>
      </c>
      <c r="C27" s="9" t="s">
        <v>101</v>
      </c>
      <c r="D27" s="15" t="s">
        <v>102</v>
      </c>
      <c r="E27" s="19" t="s">
        <v>115</v>
      </c>
      <c r="F27" s="9">
        <v>1</v>
      </c>
      <c r="G27" s="9">
        <v>72</v>
      </c>
      <c r="H27" s="9" t="s">
        <v>117</v>
      </c>
      <c r="I27" s="3" t="s">
        <v>118</v>
      </c>
      <c r="J27" s="6" t="s">
        <v>119</v>
      </c>
      <c r="K27" s="20">
        <v>4</v>
      </c>
      <c r="L27" s="11" t="s">
        <v>158</v>
      </c>
      <c r="M27" s="6" t="s">
        <v>182</v>
      </c>
      <c r="N27" s="6" t="s">
        <v>159</v>
      </c>
      <c r="O27" s="6" t="s">
        <v>149</v>
      </c>
      <c r="P27" s="6">
        <v>2004</v>
      </c>
      <c r="Q27" s="4" t="s">
        <v>124</v>
      </c>
      <c r="R27" s="4" t="s">
        <v>125</v>
      </c>
      <c r="S27" s="4" t="s">
        <v>126</v>
      </c>
      <c r="T27" s="10" t="s">
        <v>134</v>
      </c>
      <c r="U27" s="25" t="s">
        <v>177</v>
      </c>
      <c r="V27" s="6" t="s">
        <v>171</v>
      </c>
      <c r="W27" s="6" t="s">
        <v>130</v>
      </c>
      <c r="X27" s="6" t="s">
        <v>0</v>
      </c>
      <c r="Y27" s="6" t="s">
        <v>0</v>
      </c>
      <c r="Z27" s="6" t="s">
        <v>0</v>
      </c>
      <c r="AA27" s="6" t="s">
        <v>197</v>
      </c>
      <c r="AB27" s="21" t="s">
        <v>137</v>
      </c>
      <c r="AC27" s="28">
        <v>1</v>
      </c>
      <c r="AD27" s="6">
        <v>0.5</v>
      </c>
      <c r="AE27" s="6">
        <v>0.05</v>
      </c>
      <c r="AF27" s="6">
        <v>0</v>
      </c>
      <c r="AG27" s="6">
        <v>0.5</v>
      </c>
      <c r="AH27" s="68">
        <f t="shared" si="0"/>
        <v>0.76249999999999996</v>
      </c>
      <c r="AI27" s="69">
        <f t="shared" si="1"/>
        <v>76.25</v>
      </c>
      <c r="AJ27" s="101" t="s">
        <v>310</v>
      </c>
      <c r="AK27" s="69">
        <f t="shared" si="2"/>
        <v>0.41992092232853029</v>
      </c>
    </row>
    <row r="28" spans="1:37" s="5" customFormat="1" ht="60" x14ac:dyDescent="0.25">
      <c r="A28" s="19">
        <v>25</v>
      </c>
      <c r="B28" s="9" t="s">
        <v>51</v>
      </c>
      <c r="C28" s="9" t="s">
        <v>103</v>
      </c>
      <c r="D28" s="15" t="s">
        <v>104</v>
      </c>
      <c r="E28" s="19" t="s">
        <v>115</v>
      </c>
      <c r="F28" s="9">
        <v>1</v>
      </c>
      <c r="G28" s="9">
        <v>82.5</v>
      </c>
      <c r="H28" s="9" t="s">
        <v>117</v>
      </c>
      <c r="I28" s="3" t="s">
        <v>118</v>
      </c>
      <c r="J28" s="6" t="s">
        <v>119</v>
      </c>
      <c r="K28" s="20" t="s">
        <v>162</v>
      </c>
      <c r="L28" s="11" t="s">
        <v>172</v>
      </c>
      <c r="M28" s="6" t="s">
        <v>182</v>
      </c>
      <c r="N28" s="6" t="s">
        <v>173</v>
      </c>
      <c r="O28" s="6" t="s">
        <v>149</v>
      </c>
      <c r="P28" s="6" t="s">
        <v>140</v>
      </c>
      <c r="Q28" s="4" t="s">
        <v>160</v>
      </c>
      <c r="R28" s="4" t="s">
        <v>126</v>
      </c>
      <c r="S28" s="4" t="s">
        <v>126</v>
      </c>
      <c r="T28" s="10" t="s">
        <v>134</v>
      </c>
      <c r="U28" s="25" t="s">
        <v>177</v>
      </c>
      <c r="V28" s="6" t="s">
        <v>129</v>
      </c>
      <c r="W28" s="6" t="s">
        <v>130</v>
      </c>
      <c r="X28" s="6" t="s">
        <v>0</v>
      </c>
      <c r="Y28" s="6" t="s">
        <v>0</v>
      </c>
      <c r="Z28" s="6" t="s">
        <v>0</v>
      </c>
      <c r="AA28" s="6" t="s">
        <v>153</v>
      </c>
      <c r="AB28" s="21" t="s">
        <v>137</v>
      </c>
      <c r="AC28" s="28">
        <v>1</v>
      </c>
      <c r="AD28" s="6">
        <v>0.5</v>
      </c>
      <c r="AE28" s="6">
        <v>0.05</v>
      </c>
      <c r="AF28" s="6">
        <v>0</v>
      </c>
      <c r="AG28" s="6">
        <v>0.5</v>
      </c>
      <c r="AH28" s="68">
        <f t="shared" si="0"/>
        <v>0.76249999999999996</v>
      </c>
      <c r="AI28" s="69">
        <f t="shared" si="1"/>
        <v>76.25</v>
      </c>
      <c r="AJ28" s="101" t="s">
        <v>310</v>
      </c>
      <c r="AK28" s="69">
        <f t="shared" si="2"/>
        <v>0.41992092232853029</v>
      </c>
    </row>
    <row r="29" spans="1:37" s="5" customFormat="1" ht="30" x14ac:dyDescent="0.25">
      <c r="A29" s="19">
        <v>26</v>
      </c>
      <c r="B29" s="9" t="s">
        <v>52</v>
      </c>
      <c r="C29" s="9" t="s">
        <v>105</v>
      </c>
      <c r="D29" s="15" t="s">
        <v>106</v>
      </c>
      <c r="E29" s="19" t="s">
        <v>145</v>
      </c>
      <c r="F29" s="9">
        <v>2</v>
      </c>
      <c r="G29" s="9">
        <v>72</v>
      </c>
      <c r="H29" s="9" t="s">
        <v>117</v>
      </c>
      <c r="I29" s="3" t="s">
        <v>118</v>
      </c>
      <c r="J29" s="6" t="s">
        <v>119</v>
      </c>
      <c r="K29" s="20">
        <v>6</v>
      </c>
      <c r="L29" s="17" t="s">
        <v>174</v>
      </c>
      <c r="M29" s="6" t="s">
        <v>121</v>
      </c>
      <c r="N29" s="6" t="s">
        <v>159</v>
      </c>
      <c r="O29" s="6" t="s">
        <v>149</v>
      </c>
      <c r="P29" s="6" t="s">
        <v>175</v>
      </c>
      <c r="Q29" s="4" t="s">
        <v>124</v>
      </c>
      <c r="R29" s="4" t="s">
        <v>125</v>
      </c>
      <c r="S29" s="4" t="s">
        <v>126</v>
      </c>
      <c r="T29" s="10" t="s">
        <v>134</v>
      </c>
      <c r="U29" s="25" t="s">
        <v>177</v>
      </c>
      <c r="V29" s="6" t="s">
        <v>129</v>
      </c>
      <c r="W29" s="6" t="s">
        <v>176</v>
      </c>
      <c r="X29" s="6" t="s">
        <v>0</v>
      </c>
      <c r="Y29" s="6" t="s">
        <v>0</v>
      </c>
      <c r="Z29" s="6" t="s">
        <v>0</v>
      </c>
      <c r="AA29" s="6" t="s">
        <v>197</v>
      </c>
      <c r="AB29" s="21" t="s">
        <v>137</v>
      </c>
      <c r="AC29" s="28">
        <v>1</v>
      </c>
      <c r="AD29" s="6">
        <v>0.5</v>
      </c>
      <c r="AE29" s="6">
        <v>0.6</v>
      </c>
      <c r="AF29" s="6">
        <v>0</v>
      </c>
      <c r="AG29" s="6">
        <v>0.5</v>
      </c>
      <c r="AH29" s="68">
        <f t="shared" si="0"/>
        <v>0.9</v>
      </c>
      <c r="AI29" s="69">
        <f t="shared" si="1"/>
        <v>90</v>
      </c>
      <c r="AJ29" s="99" t="s">
        <v>311</v>
      </c>
      <c r="AK29" s="69">
        <f t="shared" si="2"/>
        <v>0.71379915616115208</v>
      </c>
    </row>
    <row r="30" spans="1:37" s="5" customFormat="1" ht="30" x14ac:dyDescent="0.25">
      <c r="A30" s="19">
        <v>27</v>
      </c>
      <c r="B30" s="9" t="s">
        <v>53</v>
      </c>
      <c r="C30" s="9" t="s">
        <v>107</v>
      </c>
      <c r="D30" s="15" t="s">
        <v>108</v>
      </c>
      <c r="E30" s="19" t="s">
        <v>145</v>
      </c>
      <c r="F30" s="9">
        <v>1</v>
      </c>
      <c r="G30" s="9">
        <v>72</v>
      </c>
      <c r="H30" s="9" t="s">
        <v>117</v>
      </c>
      <c r="I30" s="3" t="s">
        <v>118</v>
      </c>
      <c r="J30" s="6" t="s">
        <v>119</v>
      </c>
      <c r="K30" s="20">
        <v>4</v>
      </c>
      <c r="L30" s="17" t="s">
        <v>174</v>
      </c>
      <c r="M30" s="6" t="s">
        <v>182</v>
      </c>
      <c r="N30" s="6" t="s">
        <v>159</v>
      </c>
      <c r="O30" s="6" t="s">
        <v>149</v>
      </c>
      <c r="P30" s="6" t="s">
        <v>175</v>
      </c>
      <c r="Q30" s="4" t="s">
        <v>124</v>
      </c>
      <c r="R30" s="4" t="s">
        <v>126</v>
      </c>
      <c r="S30" s="4" t="s">
        <v>126</v>
      </c>
      <c r="T30" s="10" t="s">
        <v>134</v>
      </c>
      <c r="U30" s="25" t="s">
        <v>128</v>
      </c>
      <c r="V30" s="6" t="s">
        <v>129</v>
      </c>
      <c r="W30" s="6" t="s">
        <v>130</v>
      </c>
      <c r="X30" s="40" t="s">
        <v>2</v>
      </c>
      <c r="Y30" s="6" t="s">
        <v>0</v>
      </c>
      <c r="Z30" s="6" t="s">
        <v>0</v>
      </c>
      <c r="AA30" s="6" t="s">
        <v>197</v>
      </c>
      <c r="AB30" s="21" t="s">
        <v>137</v>
      </c>
      <c r="AC30" s="28">
        <v>1</v>
      </c>
      <c r="AD30" s="6">
        <v>0.5</v>
      </c>
      <c r="AE30" s="6">
        <v>0.05</v>
      </c>
      <c r="AF30" s="6">
        <v>0.25</v>
      </c>
      <c r="AG30" s="6">
        <v>0.5</v>
      </c>
      <c r="AH30" s="68">
        <f t="shared" si="0"/>
        <v>0.82187500000000002</v>
      </c>
      <c r="AI30" s="69">
        <f t="shared" si="1"/>
        <v>82.1875</v>
      </c>
      <c r="AJ30" s="98" t="s">
        <v>143</v>
      </c>
      <c r="AK30" s="69">
        <f t="shared" si="2"/>
        <v>0.53379987105554849</v>
      </c>
    </row>
    <row r="31" spans="1:37" s="5" customFormat="1" ht="30" x14ac:dyDescent="0.25">
      <c r="A31" s="19">
        <v>28</v>
      </c>
      <c r="B31" s="9" t="s">
        <v>54</v>
      </c>
      <c r="C31" s="9" t="s">
        <v>109</v>
      </c>
      <c r="D31" s="15" t="s">
        <v>110</v>
      </c>
      <c r="E31" s="19" t="s">
        <v>115</v>
      </c>
      <c r="F31" s="9">
        <v>1</v>
      </c>
      <c r="G31" s="9">
        <v>72</v>
      </c>
      <c r="H31" s="9" t="s">
        <v>168</v>
      </c>
      <c r="I31" s="3" t="s">
        <v>118</v>
      </c>
      <c r="J31" s="6" t="s">
        <v>119</v>
      </c>
      <c r="K31" s="20">
        <v>3</v>
      </c>
      <c r="L31" s="11" t="s">
        <v>158</v>
      </c>
      <c r="M31" s="6" t="s">
        <v>182</v>
      </c>
      <c r="N31" s="6" t="s">
        <v>122</v>
      </c>
      <c r="O31" s="6" t="s">
        <v>149</v>
      </c>
      <c r="P31" s="6">
        <v>2020</v>
      </c>
      <c r="Q31" s="4" t="s">
        <v>160</v>
      </c>
      <c r="R31" s="4" t="s">
        <v>125</v>
      </c>
      <c r="S31" s="4" t="s">
        <v>126</v>
      </c>
      <c r="T31" s="10" t="s">
        <v>134</v>
      </c>
      <c r="U31" s="25" t="s">
        <v>128</v>
      </c>
      <c r="V31" s="6" t="s">
        <v>129</v>
      </c>
      <c r="W31" s="6" t="s">
        <v>130</v>
      </c>
      <c r="X31" s="40" t="s">
        <v>2</v>
      </c>
      <c r="Y31" s="6" t="s">
        <v>0</v>
      </c>
      <c r="Z31" s="6" t="s">
        <v>0</v>
      </c>
      <c r="AA31" s="6" t="s">
        <v>197</v>
      </c>
      <c r="AB31" s="21" t="s">
        <v>137</v>
      </c>
      <c r="AC31" s="28">
        <v>1</v>
      </c>
      <c r="AD31" s="6">
        <v>0.5</v>
      </c>
      <c r="AE31" s="6">
        <v>0.05</v>
      </c>
      <c r="AF31" s="6">
        <v>0.25</v>
      </c>
      <c r="AG31" s="6">
        <v>0.1</v>
      </c>
      <c r="AH31" s="68">
        <f t="shared" si="0"/>
        <v>0.67937500000000006</v>
      </c>
      <c r="AI31" s="69">
        <f t="shared" si="1"/>
        <v>67.9375</v>
      </c>
      <c r="AJ31" s="100" t="s">
        <v>154</v>
      </c>
      <c r="AK31" s="69">
        <f>(AH31)^3.2</f>
        <v>0.29023554325797374</v>
      </c>
    </row>
    <row r="32" spans="1:37" s="5" customFormat="1" ht="60" x14ac:dyDescent="0.25">
      <c r="A32" s="19">
        <v>29</v>
      </c>
      <c r="B32" s="9" t="s">
        <v>55</v>
      </c>
      <c r="C32" s="9" t="s">
        <v>111</v>
      </c>
      <c r="D32" s="15" t="s">
        <v>112</v>
      </c>
      <c r="E32" s="19" t="s">
        <v>115</v>
      </c>
      <c r="F32" s="9">
        <v>2</v>
      </c>
      <c r="G32" s="9">
        <v>72</v>
      </c>
      <c r="H32" s="9" t="s">
        <v>117</v>
      </c>
      <c r="I32" s="3" t="s">
        <v>118</v>
      </c>
      <c r="J32" s="6" t="s">
        <v>166</v>
      </c>
      <c r="K32" s="20">
        <v>3</v>
      </c>
      <c r="L32" s="11" t="s">
        <v>158</v>
      </c>
      <c r="M32" s="6" t="s">
        <v>163</v>
      </c>
      <c r="N32" s="6" t="s">
        <v>173</v>
      </c>
      <c r="O32" s="6" t="s">
        <v>149</v>
      </c>
      <c r="P32" s="6">
        <v>2011</v>
      </c>
      <c r="Q32" s="4" t="s">
        <v>160</v>
      </c>
      <c r="R32" s="4" t="s">
        <v>126</v>
      </c>
      <c r="S32" s="4" t="s">
        <v>126</v>
      </c>
      <c r="T32" s="10" t="s">
        <v>134</v>
      </c>
      <c r="U32" s="25" t="s">
        <v>128</v>
      </c>
      <c r="V32" s="6" t="s">
        <v>129</v>
      </c>
      <c r="W32" s="6" t="s">
        <v>130</v>
      </c>
      <c r="X32" s="6" t="s">
        <v>0</v>
      </c>
      <c r="Y32" s="6" t="s">
        <v>0</v>
      </c>
      <c r="Z32" s="6" t="s">
        <v>0</v>
      </c>
      <c r="AA32" s="6" t="s">
        <v>197</v>
      </c>
      <c r="AB32" s="21" t="s">
        <v>137</v>
      </c>
      <c r="AC32" s="28">
        <v>1</v>
      </c>
      <c r="AD32" s="6">
        <v>0.5</v>
      </c>
      <c r="AE32" s="6">
        <v>0.6</v>
      </c>
      <c r="AF32" s="6">
        <v>0.25</v>
      </c>
      <c r="AG32" s="6">
        <v>0.3</v>
      </c>
      <c r="AH32" s="68">
        <f t="shared" si="0"/>
        <v>0.89500000000000002</v>
      </c>
      <c r="AI32" s="69">
        <f t="shared" si="1"/>
        <v>89.5</v>
      </c>
      <c r="AJ32" s="98" t="s">
        <v>143</v>
      </c>
      <c r="AK32" s="69">
        <f t="shared" si="2"/>
        <v>0.70118676965305315</v>
      </c>
    </row>
    <row r="33" spans="1:37" s="5" customFormat="1" ht="30" x14ac:dyDescent="0.25">
      <c r="A33" s="19">
        <v>30</v>
      </c>
      <c r="B33" s="9" t="s">
        <v>56</v>
      </c>
      <c r="C33" s="9" t="s">
        <v>113</v>
      </c>
      <c r="D33" s="15" t="s">
        <v>114</v>
      </c>
      <c r="E33" s="19" t="s">
        <v>145</v>
      </c>
      <c r="F33" s="9">
        <v>2</v>
      </c>
      <c r="G33" s="9">
        <v>72</v>
      </c>
      <c r="H33" s="9" t="s">
        <v>117</v>
      </c>
      <c r="I33" s="3" t="s">
        <v>118</v>
      </c>
      <c r="J33" s="6" t="s">
        <v>166</v>
      </c>
      <c r="K33" s="20">
        <v>3</v>
      </c>
      <c r="L33" s="11" t="s">
        <v>158</v>
      </c>
      <c r="M33" s="6" t="s">
        <v>121</v>
      </c>
      <c r="N33" s="6" t="s">
        <v>148</v>
      </c>
      <c r="O33" s="6" t="s">
        <v>149</v>
      </c>
      <c r="P33" s="6">
        <v>2002</v>
      </c>
      <c r="Q33" s="4" t="s">
        <v>160</v>
      </c>
      <c r="R33" s="4" t="s">
        <v>125</v>
      </c>
      <c r="S33" s="4" t="s">
        <v>126</v>
      </c>
      <c r="T33" s="10" t="s">
        <v>134</v>
      </c>
      <c r="U33" s="25" t="s">
        <v>128</v>
      </c>
      <c r="V33" s="6" t="s">
        <v>129</v>
      </c>
      <c r="W33" s="6" t="s">
        <v>130</v>
      </c>
      <c r="X33" s="6" t="s">
        <v>0</v>
      </c>
      <c r="Y33" s="6" t="s">
        <v>0</v>
      </c>
      <c r="Z33" s="6" t="s">
        <v>0</v>
      </c>
      <c r="AA33" s="6" t="s">
        <v>197</v>
      </c>
      <c r="AB33" s="21" t="s">
        <v>137</v>
      </c>
      <c r="AC33" s="28">
        <v>1</v>
      </c>
      <c r="AD33" s="6">
        <v>0.5</v>
      </c>
      <c r="AE33" s="6">
        <v>0.6</v>
      </c>
      <c r="AF33" s="6">
        <v>0.25</v>
      </c>
      <c r="AG33" s="6">
        <v>0.3</v>
      </c>
      <c r="AH33" s="68">
        <f t="shared" si="0"/>
        <v>0.89500000000000002</v>
      </c>
      <c r="AI33" s="69">
        <f t="shared" si="1"/>
        <v>89.5</v>
      </c>
      <c r="AJ33" s="98" t="s">
        <v>143</v>
      </c>
      <c r="AK33" s="69">
        <f t="shared" si="2"/>
        <v>0.70118676965305315</v>
      </c>
    </row>
    <row r="34" spans="1:37" ht="30" x14ac:dyDescent="0.25">
      <c r="A34" s="19">
        <v>31</v>
      </c>
      <c r="B34" s="7" t="s">
        <v>187</v>
      </c>
      <c r="C34" s="9" t="s">
        <v>192</v>
      </c>
      <c r="D34" s="15" t="s">
        <v>193</v>
      </c>
      <c r="E34" s="19" t="s">
        <v>145</v>
      </c>
      <c r="F34" s="7">
        <v>2</v>
      </c>
      <c r="G34" s="7">
        <v>72</v>
      </c>
      <c r="H34" s="9" t="s">
        <v>117</v>
      </c>
      <c r="I34" s="3" t="s">
        <v>118</v>
      </c>
      <c r="J34" s="6" t="s">
        <v>194</v>
      </c>
      <c r="K34" s="33" t="s">
        <v>198</v>
      </c>
      <c r="L34" s="17" t="s">
        <v>167</v>
      </c>
      <c r="M34" s="6" t="s">
        <v>163</v>
      </c>
      <c r="N34" s="6" t="s">
        <v>195</v>
      </c>
      <c r="O34" s="6" t="s">
        <v>184</v>
      </c>
      <c r="P34" s="6" t="s">
        <v>175</v>
      </c>
      <c r="Q34" s="4" t="s">
        <v>160</v>
      </c>
      <c r="R34" s="4" t="s">
        <v>125</v>
      </c>
      <c r="S34" s="4" t="s">
        <v>126</v>
      </c>
      <c r="T34" s="15" t="s">
        <v>151</v>
      </c>
      <c r="U34" s="25" t="s">
        <v>196</v>
      </c>
      <c r="V34" s="9" t="s">
        <v>196</v>
      </c>
      <c r="W34" s="6" t="s">
        <v>130</v>
      </c>
      <c r="X34" s="6" t="s">
        <v>0</v>
      </c>
      <c r="Y34" s="6" t="s">
        <v>0</v>
      </c>
      <c r="Z34" s="6" t="s">
        <v>0</v>
      </c>
      <c r="AA34" s="6" t="s">
        <v>197</v>
      </c>
      <c r="AB34" s="20" t="s">
        <v>196</v>
      </c>
      <c r="AC34" s="30">
        <v>1</v>
      </c>
      <c r="AD34" s="6">
        <v>0.3</v>
      </c>
      <c r="AE34" s="6">
        <v>0.6</v>
      </c>
      <c r="AF34" s="6">
        <v>0.25</v>
      </c>
      <c r="AG34" s="6">
        <v>0.3</v>
      </c>
      <c r="AH34" s="68">
        <f t="shared" si="0"/>
        <v>0.85299999999999998</v>
      </c>
      <c r="AI34" s="69">
        <f t="shared" si="1"/>
        <v>85.3</v>
      </c>
      <c r="AJ34" s="98" t="s">
        <v>143</v>
      </c>
      <c r="AK34" s="69">
        <f t="shared" si="2"/>
        <v>0.60122481824896112</v>
      </c>
    </row>
    <row r="35" spans="1:37" ht="30" x14ac:dyDescent="0.25">
      <c r="A35" s="19">
        <v>32</v>
      </c>
      <c r="B35" s="7" t="s">
        <v>188</v>
      </c>
      <c r="C35" s="9" t="s">
        <v>199</v>
      </c>
      <c r="D35" s="15" t="s">
        <v>200</v>
      </c>
      <c r="E35" s="19" t="s">
        <v>115</v>
      </c>
      <c r="F35" s="7">
        <v>1</v>
      </c>
      <c r="G35" s="7">
        <v>72</v>
      </c>
      <c r="H35" s="9" t="s">
        <v>117</v>
      </c>
      <c r="I35" s="3" t="s">
        <v>118</v>
      </c>
      <c r="J35" s="6" t="s">
        <v>194</v>
      </c>
      <c r="K35" s="33" t="s">
        <v>198</v>
      </c>
      <c r="L35" s="17" t="s">
        <v>167</v>
      </c>
      <c r="M35" s="6" t="s">
        <v>182</v>
      </c>
      <c r="N35" s="6" t="s">
        <v>196</v>
      </c>
      <c r="O35" s="6" t="s">
        <v>167</v>
      </c>
      <c r="P35" s="6" t="s">
        <v>175</v>
      </c>
      <c r="Q35" s="4" t="s">
        <v>160</v>
      </c>
      <c r="R35" s="4" t="s">
        <v>125</v>
      </c>
      <c r="S35" s="4" t="s">
        <v>126</v>
      </c>
      <c r="T35" s="15" t="s">
        <v>186</v>
      </c>
      <c r="U35" s="25" t="s">
        <v>196</v>
      </c>
      <c r="V35" s="6" t="s">
        <v>196</v>
      </c>
      <c r="W35" s="6" t="s">
        <v>130</v>
      </c>
      <c r="X35" s="60" t="s">
        <v>196</v>
      </c>
      <c r="Y35" s="60" t="s">
        <v>196</v>
      </c>
      <c r="Z35" s="60" t="s">
        <v>196</v>
      </c>
      <c r="AA35" s="6" t="s">
        <v>197</v>
      </c>
      <c r="AB35" s="20" t="s">
        <v>196</v>
      </c>
      <c r="AC35" s="30">
        <v>1</v>
      </c>
      <c r="AD35" s="6">
        <v>0.7</v>
      </c>
      <c r="AE35" s="6">
        <v>0.05</v>
      </c>
      <c r="AF35" s="6">
        <v>0.25</v>
      </c>
      <c r="AG35" s="6">
        <v>0.5</v>
      </c>
      <c r="AH35" s="68">
        <f t="shared" si="0"/>
        <v>0.89312499999999995</v>
      </c>
      <c r="AI35" s="69">
        <f t="shared" si="1"/>
        <v>89.3125</v>
      </c>
      <c r="AJ35" s="98" t="s">
        <v>143</v>
      </c>
      <c r="AK35" s="69">
        <f t="shared" si="2"/>
        <v>0.69649689975213147</v>
      </c>
    </row>
    <row r="36" spans="1:37" ht="30.75" customHeight="1" x14ac:dyDescent="0.25">
      <c r="A36" s="19">
        <v>33</v>
      </c>
      <c r="B36" s="7" t="s">
        <v>189</v>
      </c>
      <c r="C36" s="9" t="s">
        <v>201</v>
      </c>
      <c r="D36" s="15" t="s">
        <v>75</v>
      </c>
      <c r="E36" s="19" t="s">
        <v>145</v>
      </c>
      <c r="F36" s="7">
        <v>4</v>
      </c>
      <c r="G36" s="7">
        <v>72</v>
      </c>
      <c r="H36" s="9" t="s">
        <v>168</v>
      </c>
      <c r="I36" s="3" t="s">
        <v>118</v>
      </c>
      <c r="J36" s="6" t="s">
        <v>194</v>
      </c>
      <c r="K36" s="33" t="s">
        <v>162</v>
      </c>
      <c r="L36" s="11" t="s">
        <v>202</v>
      </c>
      <c r="M36" s="6" t="s">
        <v>121</v>
      </c>
      <c r="N36" s="6" t="s">
        <v>159</v>
      </c>
      <c r="O36" s="6" t="s">
        <v>149</v>
      </c>
      <c r="P36" s="6" t="s">
        <v>175</v>
      </c>
      <c r="Q36" s="4" t="s">
        <v>160</v>
      </c>
      <c r="R36" s="4" t="s">
        <v>126</v>
      </c>
      <c r="S36" s="4" t="s">
        <v>126</v>
      </c>
      <c r="T36" s="15" t="s">
        <v>134</v>
      </c>
      <c r="U36" s="25" t="s">
        <v>196</v>
      </c>
      <c r="V36" s="6" t="s">
        <v>196</v>
      </c>
      <c r="W36" s="6" t="s">
        <v>130</v>
      </c>
      <c r="X36" s="60" t="s">
        <v>196</v>
      </c>
      <c r="Y36" s="60" t="s">
        <v>196</v>
      </c>
      <c r="Z36" s="60" t="s">
        <v>196</v>
      </c>
      <c r="AA36" s="6" t="s">
        <v>197</v>
      </c>
      <c r="AB36" s="20" t="s">
        <v>196</v>
      </c>
      <c r="AC36" s="30">
        <v>1</v>
      </c>
      <c r="AD36" s="6">
        <v>0.5</v>
      </c>
      <c r="AE36" s="6">
        <v>0.9</v>
      </c>
      <c r="AF36" s="6">
        <v>0.25</v>
      </c>
      <c r="AG36" s="6">
        <v>0.5</v>
      </c>
      <c r="AH36" s="68">
        <f t="shared" si="0"/>
        <v>0.98124999999999996</v>
      </c>
      <c r="AI36" s="69">
        <f t="shared" si="1"/>
        <v>98.125</v>
      </c>
      <c r="AJ36" s="99" t="s">
        <v>311</v>
      </c>
      <c r="AK36" s="69">
        <f t="shared" si="2"/>
        <v>0.94122822747742318</v>
      </c>
    </row>
    <row r="37" spans="1:37" ht="34.5" customHeight="1" x14ac:dyDescent="0.25">
      <c r="A37" s="19">
        <v>34</v>
      </c>
      <c r="B37" s="9" t="s">
        <v>190</v>
      </c>
      <c r="C37" s="9" t="s">
        <v>207</v>
      </c>
      <c r="D37" s="15" t="s">
        <v>208</v>
      </c>
      <c r="E37" s="19" t="s">
        <v>115</v>
      </c>
      <c r="F37" s="9">
        <v>1</v>
      </c>
      <c r="G37" s="9">
        <v>72</v>
      </c>
      <c r="H37" s="9" t="s">
        <v>117</v>
      </c>
      <c r="I37" s="3" t="s">
        <v>118</v>
      </c>
      <c r="J37" s="6" t="s">
        <v>194</v>
      </c>
      <c r="K37" s="33" t="s">
        <v>198</v>
      </c>
      <c r="L37" s="17" t="s">
        <v>167</v>
      </c>
      <c r="M37" s="6" t="s">
        <v>182</v>
      </c>
      <c r="N37" s="6" t="s">
        <v>196</v>
      </c>
      <c r="O37" s="6" t="s">
        <v>167</v>
      </c>
      <c r="P37" s="6" t="s">
        <v>175</v>
      </c>
      <c r="Q37" s="4" t="s">
        <v>124</v>
      </c>
      <c r="R37" s="4" t="s">
        <v>125</v>
      </c>
      <c r="S37" s="4" t="s">
        <v>126</v>
      </c>
      <c r="T37" s="15" t="s">
        <v>186</v>
      </c>
      <c r="U37" s="25" t="s">
        <v>128</v>
      </c>
      <c r="V37" s="9" t="s">
        <v>196</v>
      </c>
      <c r="W37" s="6" t="s">
        <v>130</v>
      </c>
      <c r="X37" s="60" t="s">
        <v>196</v>
      </c>
      <c r="Y37" s="60" t="s">
        <v>196</v>
      </c>
      <c r="Z37" s="60" t="s">
        <v>196</v>
      </c>
      <c r="AA37" s="6" t="s">
        <v>197</v>
      </c>
      <c r="AB37" s="20" t="s">
        <v>196</v>
      </c>
      <c r="AC37" s="30">
        <v>1</v>
      </c>
      <c r="AD37" s="6">
        <v>0.7</v>
      </c>
      <c r="AE37" s="6">
        <v>0.05</v>
      </c>
      <c r="AF37" s="6">
        <v>0.25</v>
      </c>
      <c r="AG37" s="6">
        <v>0.5</v>
      </c>
      <c r="AH37" s="68">
        <f t="shared" si="0"/>
        <v>0.89312499999999995</v>
      </c>
      <c r="AI37" s="69">
        <f t="shared" si="1"/>
        <v>89.3125</v>
      </c>
      <c r="AJ37" s="98" t="s">
        <v>143</v>
      </c>
      <c r="AK37" s="69">
        <f t="shared" si="2"/>
        <v>0.69649689975213147</v>
      </c>
    </row>
    <row r="38" spans="1:37" s="8" customFormat="1" ht="26.25" customHeight="1" x14ac:dyDescent="0.25">
      <c r="A38" s="19">
        <v>35</v>
      </c>
      <c r="B38" s="9" t="s">
        <v>291</v>
      </c>
      <c r="C38" s="9" t="s">
        <v>203</v>
      </c>
      <c r="D38" s="15" t="s">
        <v>204</v>
      </c>
      <c r="E38" s="25" t="s">
        <v>205</v>
      </c>
      <c r="F38" s="9" t="s">
        <v>186</v>
      </c>
      <c r="G38" s="9" t="s">
        <v>186</v>
      </c>
      <c r="H38" s="9" t="s">
        <v>206</v>
      </c>
      <c r="I38" s="9" t="s">
        <v>186</v>
      </c>
      <c r="J38" s="9" t="s">
        <v>186</v>
      </c>
      <c r="K38" s="20" t="s">
        <v>186</v>
      </c>
      <c r="L38" s="29" t="s">
        <v>186</v>
      </c>
      <c r="M38" s="9" t="s">
        <v>186</v>
      </c>
      <c r="N38" s="9" t="s">
        <v>186</v>
      </c>
      <c r="O38" s="9" t="s">
        <v>186</v>
      </c>
      <c r="P38" s="6" t="s">
        <v>186</v>
      </c>
      <c r="Q38" s="9" t="s">
        <v>186</v>
      </c>
      <c r="R38" s="9" t="s">
        <v>186</v>
      </c>
      <c r="S38" s="9" t="s">
        <v>186</v>
      </c>
      <c r="T38" s="15" t="s">
        <v>186</v>
      </c>
      <c r="U38" s="25" t="s">
        <v>186</v>
      </c>
      <c r="V38" s="9" t="s">
        <v>186</v>
      </c>
      <c r="W38" s="9" t="s">
        <v>186</v>
      </c>
      <c r="X38" s="60" t="s">
        <v>186</v>
      </c>
      <c r="Y38" s="60" t="s">
        <v>186</v>
      </c>
      <c r="Z38" s="60" t="s">
        <v>186</v>
      </c>
      <c r="AA38" s="9" t="s">
        <v>186</v>
      </c>
      <c r="AB38" s="20" t="s">
        <v>186</v>
      </c>
      <c r="AC38" s="31" t="s">
        <v>186</v>
      </c>
      <c r="AD38" s="6">
        <v>0.7</v>
      </c>
      <c r="AE38" s="6">
        <v>0.6</v>
      </c>
      <c r="AF38" s="6">
        <v>0.25</v>
      </c>
      <c r="AG38" s="6">
        <v>0.5</v>
      </c>
      <c r="AH38" s="68">
        <f t="shared" si="0"/>
        <v>0.95499999999999996</v>
      </c>
      <c r="AI38" s="69">
        <f t="shared" si="1"/>
        <v>95.5</v>
      </c>
      <c r="AJ38" s="99" t="s">
        <v>311</v>
      </c>
      <c r="AK38" s="69">
        <f t="shared" si="2"/>
        <v>0.8629999867911009</v>
      </c>
    </row>
    <row r="39" spans="1:37" ht="36.75" customHeight="1" thickBot="1" x14ac:dyDescent="0.3">
      <c r="A39" s="19">
        <v>36</v>
      </c>
      <c r="B39" s="22" t="s">
        <v>191</v>
      </c>
      <c r="C39" s="22" t="s">
        <v>95</v>
      </c>
      <c r="D39" s="36" t="s">
        <v>96</v>
      </c>
      <c r="E39" s="35" t="s">
        <v>145</v>
      </c>
      <c r="F39" s="22">
        <v>1</v>
      </c>
      <c r="G39" s="22">
        <v>72</v>
      </c>
      <c r="H39" s="22" t="s">
        <v>117</v>
      </c>
      <c r="I39" s="34" t="s">
        <v>118</v>
      </c>
      <c r="J39" s="24" t="s">
        <v>194</v>
      </c>
      <c r="K39" s="23" t="s">
        <v>162</v>
      </c>
      <c r="L39" s="53" t="s">
        <v>167</v>
      </c>
      <c r="M39" s="24" t="s">
        <v>196</v>
      </c>
      <c r="N39" s="24" t="s">
        <v>196</v>
      </c>
      <c r="O39" s="24" t="s">
        <v>149</v>
      </c>
      <c r="P39" s="24" t="s">
        <v>175</v>
      </c>
      <c r="Q39" s="24" t="s">
        <v>160</v>
      </c>
      <c r="R39" s="24" t="s">
        <v>154</v>
      </c>
      <c r="S39" s="24" t="s">
        <v>154</v>
      </c>
      <c r="T39" s="36" t="s">
        <v>186</v>
      </c>
      <c r="U39" s="26" t="s">
        <v>128</v>
      </c>
      <c r="V39" s="22" t="s">
        <v>155</v>
      </c>
      <c r="W39" s="24" t="s">
        <v>130</v>
      </c>
      <c r="X39" s="42" t="s">
        <v>1</v>
      </c>
      <c r="Y39" s="24" t="s">
        <v>0</v>
      </c>
      <c r="Z39" s="24" t="s">
        <v>0</v>
      </c>
      <c r="AA39" s="24" t="s">
        <v>197</v>
      </c>
      <c r="AB39" s="23" t="s">
        <v>196</v>
      </c>
      <c r="AC39" s="32">
        <v>1</v>
      </c>
      <c r="AD39" s="6">
        <v>0.7</v>
      </c>
      <c r="AE39" s="6">
        <v>0.05</v>
      </c>
      <c r="AF39" s="6">
        <v>0.25</v>
      </c>
      <c r="AG39" s="6">
        <v>0.5</v>
      </c>
      <c r="AH39" s="68">
        <f t="shared" si="0"/>
        <v>0.89312499999999995</v>
      </c>
      <c r="AI39" s="69">
        <f t="shared" si="1"/>
        <v>89.3125</v>
      </c>
      <c r="AJ39" s="98" t="s">
        <v>143</v>
      </c>
      <c r="AK39" s="69">
        <f t="shared" si="2"/>
        <v>0.69649689975213147</v>
      </c>
    </row>
  </sheetData>
  <autoFilter ref="A1:AC39" xr:uid="{3DE20D57-7699-480E-B184-AE4D29075873}">
    <filterColumn colId="2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</autoFilter>
  <mergeCells count="40">
    <mergeCell ref="AK2:AK3"/>
    <mergeCell ref="X2:Z2"/>
    <mergeCell ref="AA2:AA3"/>
    <mergeCell ref="AB2:AB3"/>
    <mergeCell ref="C1:D1"/>
    <mergeCell ref="E1:K1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L1:T1"/>
    <mergeCell ref="AC2:AC3"/>
    <mergeCell ref="U1:AB1"/>
    <mergeCell ref="A1:A3"/>
    <mergeCell ref="B1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AJ2:AJ3"/>
    <mergeCell ref="AD1:AJ1"/>
    <mergeCell ref="AI2:AI3"/>
    <mergeCell ref="AD2:AD3"/>
    <mergeCell ref="AE2:AE3"/>
    <mergeCell ref="AF2:AF3"/>
    <mergeCell ref="AG2:AG3"/>
    <mergeCell ref="AH2:AH3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6B1C7-3330-4029-988E-391F723C7A76}">
  <dimension ref="A1:U38"/>
  <sheetViews>
    <sheetView zoomScale="70" zoomScaleNormal="7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U11" sqref="U11"/>
    </sheetView>
  </sheetViews>
  <sheetFormatPr baseColWidth="10" defaultRowHeight="15" x14ac:dyDescent="0.25"/>
  <cols>
    <col min="1" max="1" width="5.42578125" style="8" customWidth="1"/>
    <col min="2" max="2" width="18" style="8" customWidth="1"/>
    <col min="3" max="3" width="14.28515625" customWidth="1"/>
    <col min="4" max="4" width="13.85546875" style="8" customWidth="1"/>
    <col min="5" max="5" width="23.5703125" customWidth="1"/>
    <col min="6" max="6" width="12.7109375" style="8" customWidth="1"/>
    <col min="7" max="7" width="14.7109375" style="8" customWidth="1"/>
    <col min="8" max="8" width="24.85546875" style="8" customWidth="1"/>
    <col min="9" max="9" width="15.42578125" customWidth="1"/>
    <col min="10" max="16" width="15.85546875" customWidth="1"/>
    <col min="17" max="17" width="26" customWidth="1"/>
    <col min="18" max="18" width="19.5703125" style="8" customWidth="1"/>
    <col min="19" max="19" width="21.140625" customWidth="1"/>
    <col min="20" max="20" width="23" customWidth="1"/>
    <col min="21" max="21" width="21.7109375" customWidth="1"/>
  </cols>
  <sheetData>
    <row r="1" spans="1:21" ht="42" customHeight="1" x14ac:dyDescent="0.25">
      <c r="A1" s="75" t="s">
        <v>3</v>
      </c>
      <c r="B1" s="77" t="s">
        <v>210</v>
      </c>
      <c r="C1" s="77" t="s">
        <v>5</v>
      </c>
      <c r="D1" s="79"/>
      <c r="E1" s="82" t="s">
        <v>212</v>
      </c>
      <c r="F1" s="83"/>
      <c r="G1" s="82" t="s">
        <v>209</v>
      </c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</row>
    <row r="2" spans="1:21" s="5" customFormat="1" ht="48.75" customHeight="1" x14ac:dyDescent="0.25">
      <c r="A2" s="76"/>
      <c r="B2" s="78"/>
      <c r="C2" s="80" t="s">
        <v>6</v>
      </c>
      <c r="D2" s="81" t="s">
        <v>7</v>
      </c>
      <c r="E2" s="88" t="s">
        <v>223</v>
      </c>
      <c r="F2" s="78" t="s">
        <v>211</v>
      </c>
      <c r="G2" s="84" t="s">
        <v>213</v>
      </c>
      <c r="H2" s="86"/>
      <c r="I2" s="84" t="s">
        <v>214</v>
      </c>
      <c r="J2" s="86"/>
      <c r="K2" s="16"/>
      <c r="L2" s="16"/>
      <c r="M2" s="16"/>
      <c r="N2" s="16"/>
      <c r="O2" s="16"/>
      <c r="P2" s="16"/>
      <c r="Q2" s="78" t="s">
        <v>23</v>
      </c>
      <c r="R2" s="84" t="s">
        <v>215</v>
      </c>
      <c r="S2" s="85"/>
      <c r="T2" s="86"/>
      <c r="U2" s="78" t="s">
        <v>23</v>
      </c>
    </row>
    <row r="3" spans="1:21" s="5" customFormat="1" ht="48.75" customHeight="1" x14ac:dyDescent="0.25">
      <c r="A3" s="76"/>
      <c r="B3" s="78"/>
      <c r="C3" s="80"/>
      <c r="D3" s="81"/>
      <c r="E3" s="88"/>
      <c r="F3" s="78"/>
      <c r="G3" s="39" t="s">
        <v>219</v>
      </c>
      <c r="H3" s="39" t="s">
        <v>220</v>
      </c>
      <c r="I3" s="14" t="s">
        <v>228</v>
      </c>
      <c r="J3" s="14" t="s">
        <v>221</v>
      </c>
      <c r="K3" s="14" t="s">
        <v>230</v>
      </c>
      <c r="L3" s="14" t="s">
        <v>233</v>
      </c>
      <c r="M3" s="14" t="s">
        <v>232</v>
      </c>
      <c r="N3" s="14" t="s">
        <v>234</v>
      </c>
      <c r="O3" s="14" t="s">
        <v>231</v>
      </c>
      <c r="P3" s="14" t="s">
        <v>235</v>
      </c>
      <c r="Q3" s="78"/>
      <c r="R3" s="18" t="s">
        <v>216</v>
      </c>
      <c r="S3" s="16" t="s">
        <v>217</v>
      </c>
      <c r="T3" s="14" t="s">
        <v>218</v>
      </c>
      <c r="U3" s="78"/>
    </row>
    <row r="4" spans="1:21" s="38" customFormat="1" ht="60" x14ac:dyDescent="0.25">
      <c r="A4" s="6">
        <v>1</v>
      </c>
      <c r="B4" s="6" t="s">
        <v>222</v>
      </c>
      <c r="C4" s="6" t="s">
        <v>224</v>
      </c>
      <c r="D4" s="6" t="s">
        <v>225</v>
      </c>
      <c r="E4" s="6">
        <v>432</v>
      </c>
      <c r="F4" s="6">
        <v>1</v>
      </c>
      <c r="G4" s="6" t="s">
        <v>226</v>
      </c>
      <c r="H4" s="6" t="s">
        <v>227</v>
      </c>
      <c r="I4" s="6">
        <v>6</v>
      </c>
      <c r="J4" s="6" t="s">
        <v>229</v>
      </c>
      <c r="K4" s="6" t="s">
        <v>236</v>
      </c>
      <c r="L4" s="6">
        <v>1</v>
      </c>
      <c r="M4" s="6">
        <v>1</v>
      </c>
      <c r="N4" s="6">
        <v>6</v>
      </c>
      <c r="O4" s="6" t="s">
        <v>238</v>
      </c>
      <c r="P4" s="6" t="s">
        <v>237</v>
      </c>
      <c r="Q4" s="6" t="s">
        <v>239</v>
      </c>
      <c r="R4" s="6" t="s">
        <v>241</v>
      </c>
      <c r="S4" s="6" t="s">
        <v>240</v>
      </c>
      <c r="T4" s="6" t="s">
        <v>314</v>
      </c>
      <c r="U4" s="6" t="s">
        <v>239</v>
      </c>
    </row>
    <row r="5" spans="1:21" s="5" customFormat="1" x14ac:dyDescent="0.25">
      <c r="A5" s="13"/>
      <c r="B5" s="13"/>
      <c r="D5" s="13"/>
      <c r="E5" s="13"/>
      <c r="F5" s="13"/>
      <c r="G5" s="13"/>
      <c r="H5" s="13"/>
      <c r="Q5" s="37"/>
      <c r="R5" s="13"/>
      <c r="S5" s="37"/>
      <c r="T5" s="37"/>
      <c r="U5" s="37"/>
    </row>
    <row r="6" spans="1:21" s="5" customFormat="1" x14ac:dyDescent="0.25">
      <c r="A6" s="13"/>
      <c r="B6" s="13"/>
      <c r="D6" s="13"/>
      <c r="E6" s="13"/>
      <c r="F6" s="13"/>
      <c r="G6" s="13"/>
      <c r="H6" s="13"/>
      <c r="Q6" s="37"/>
      <c r="R6" s="13"/>
      <c r="S6" s="37"/>
      <c r="T6" s="37"/>
      <c r="U6" s="37"/>
    </row>
    <row r="7" spans="1:21" s="5" customFormat="1" x14ac:dyDescent="0.25">
      <c r="A7" s="13"/>
      <c r="B7" s="13"/>
      <c r="D7" s="13"/>
      <c r="E7" s="13"/>
      <c r="F7" s="13"/>
      <c r="G7" s="13"/>
      <c r="H7" s="13"/>
      <c r="Q7" s="37"/>
      <c r="R7" s="13"/>
      <c r="S7" s="37"/>
      <c r="T7" s="37"/>
      <c r="U7" s="37"/>
    </row>
    <row r="8" spans="1:21" s="5" customFormat="1" x14ac:dyDescent="0.25">
      <c r="A8" s="13"/>
      <c r="B8" s="13"/>
      <c r="D8" s="13"/>
      <c r="E8" s="13"/>
      <c r="F8" s="13"/>
      <c r="G8" s="13"/>
      <c r="H8" s="13"/>
      <c r="O8" s="74"/>
      <c r="Q8" s="37"/>
      <c r="R8" s="13"/>
      <c r="S8" s="37"/>
      <c r="T8" s="37"/>
      <c r="U8" s="37"/>
    </row>
    <row r="9" spans="1:21" s="5" customFormat="1" x14ac:dyDescent="0.25">
      <c r="A9" s="13"/>
      <c r="B9" s="13"/>
      <c r="D9" s="13"/>
      <c r="E9" s="13"/>
      <c r="F9" s="13"/>
      <c r="G9" s="13"/>
      <c r="H9" s="13"/>
      <c r="O9" s="74"/>
      <c r="Q9" s="37"/>
      <c r="R9" s="13"/>
      <c r="S9" s="37"/>
      <c r="T9" s="37"/>
      <c r="U9" s="37"/>
    </row>
    <row r="10" spans="1:21" s="5" customFormat="1" x14ac:dyDescent="0.25">
      <c r="A10" s="13"/>
      <c r="B10" s="13"/>
      <c r="D10" s="13"/>
      <c r="E10" s="13"/>
      <c r="F10" s="38"/>
      <c r="G10" s="38"/>
      <c r="H10" s="38"/>
      <c r="I10" s="37"/>
      <c r="J10" s="37"/>
      <c r="K10" s="37"/>
      <c r="L10" s="37"/>
      <c r="M10" s="37"/>
      <c r="N10" s="37"/>
      <c r="O10" s="74"/>
      <c r="P10" s="37"/>
      <c r="Q10" s="37"/>
      <c r="R10" s="38"/>
      <c r="S10" s="37"/>
      <c r="T10" s="37"/>
      <c r="U10" s="37"/>
    </row>
    <row r="11" spans="1:21" s="5" customFormat="1" x14ac:dyDescent="0.25">
      <c r="A11" s="13"/>
      <c r="B11" s="13"/>
      <c r="D11" s="13"/>
      <c r="E11" s="13"/>
      <c r="F11" s="38"/>
      <c r="G11" s="38"/>
      <c r="H11" s="38"/>
      <c r="I11" s="37"/>
      <c r="J11" s="37"/>
      <c r="K11" s="37"/>
      <c r="L11" s="37"/>
      <c r="M11" s="37"/>
      <c r="N11" s="37"/>
      <c r="O11" s="74"/>
      <c r="P11" s="37"/>
      <c r="Q11" s="37"/>
      <c r="R11" s="38"/>
      <c r="S11" s="37"/>
      <c r="T11" s="37"/>
      <c r="U11" s="37"/>
    </row>
    <row r="12" spans="1:21" s="5" customFormat="1" x14ac:dyDescent="0.25">
      <c r="A12" s="13"/>
      <c r="B12" s="13"/>
      <c r="D12" s="13"/>
      <c r="E12" s="13"/>
      <c r="F12" s="38"/>
      <c r="G12" s="38"/>
      <c r="H12" s="38"/>
      <c r="I12" s="37"/>
      <c r="J12" s="37"/>
      <c r="K12" s="37"/>
      <c r="L12" s="37"/>
      <c r="M12" s="37"/>
      <c r="N12" s="37"/>
      <c r="O12" s="37"/>
      <c r="P12" s="37"/>
      <c r="Q12" s="37"/>
      <c r="R12" s="38"/>
      <c r="S12" s="37"/>
      <c r="T12" s="37"/>
      <c r="U12" s="37"/>
    </row>
    <row r="13" spans="1:21" s="5" customFormat="1" x14ac:dyDescent="0.25">
      <c r="A13" s="13"/>
      <c r="B13" s="13"/>
      <c r="D13" s="13"/>
      <c r="E13" s="13"/>
      <c r="F13" s="38"/>
      <c r="G13" s="38"/>
      <c r="H13" s="38"/>
      <c r="I13" s="37"/>
      <c r="J13" s="37"/>
      <c r="K13" s="37"/>
      <c r="L13" s="37"/>
      <c r="M13" s="37"/>
      <c r="N13" s="37"/>
      <c r="O13" s="37"/>
      <c r="P13" s="37"/>
      <c r="Q13" s="37"/>
      <c r="R13" s="38"/>
      <c r="S13" s="37"/>
      <c r="T13" s="37"/>
      <c r="U13" s="37"/>
    </row>
    <row r="14" spans="1:21" s="5" customFormat="1" x14ac:dyDescent="0.25">
      <c r="A14" s="13"/>
      <c r="B14" s="13"/>
      <c r="D14" s="13"/>
      <c r="E14" s="13"/>
      <c r="F14" s="38"/>
      <c r="G14" s="38"/>
      <c r="H14" s="38"/>
      <c r="I14" s="37"/>
      <c r="J14" s="37"/>
      <c r="K14" s="37"/>
      <c r="L14" s="37"/>
      <c r="M14" s="37"/>
      <c r="N14" s="37"/>
      <c r="O14" s="37"/>
      <c r="P14" s="37"/>
      <c r="Q14" s="37"/>
      <c r="R14" s="38"/>
      <c r="S14" s="37"/>
      <c r="T14" s="37"/>
      <c r="U14" s="37"/>
    </row>
    <row r="15" spans="1:21" s="5" customFormat="1" x14ac:dyDescent="0.25">
      <c r="A15" s="13"/>
      <c r="B15" s="13"/>
      <c r="D15" s="13"/>
      <c r="E15" s="13"/>
      <c r="F15" s="38"/>
      <c r="G15" s="38"/>
      <c r="H15" s="38"/>
      <c r="I15" s="37"/>
      <c r="J15" s="37"/>
      <c r="K15" s="37"/>
      <c r="L15" s="37"/>
      <c r="M15" s="37"/>
      <c r="N15" s="37"/>
      <c r="O15" s="37"/>
      <c r="P15" s="37"/>
      <c r="Q15" s="37"/>
      <c r="R15" s="38"/>
      <c r="S15" s="37"/>
      <c r="T15" s="37"/>
      <c r="U15" s="37"/>
    </row>
    <row r="16" spans="1:21" s="5" customFormat="1" x14ac:dyDescent="0.25">
      <c r="A16" s="13"/>
      <c r="B16" s="13"/>
      <c r="D16" s="13"/>
      <c r="E16" s="13"/>
      <c r="F16" s="38"/>
      <c r="G16" s="38"/>
      <c r="H16" s="38"/>
      <c r="I16" s="37"/>
      <c r="J16" s="37"/>
      <c r="K16" s="37"/>
      <c r="L16" s="37"/>
      <c r="M16" s="37"/>
      <c r="N16" s="37"/>
      <c r="O16" s="37"/>
      <c r="P16" s="37"/>
      <c r="Q16" s="37"/>
      <c r="R16" s="38"/>
      <c r="S16" s="37"/>
      <c r="T16" s="37"/>
      <c r="U16" s="37"/>
    </row>
    <row r="17" spans="1:21" s="5" customFormat="1" x14ac:dyDescent="0.25">
      <c r="A17" s="13"/>
      <c r="B17" s="13"/>
      <c r="D17" s="13"/>
      <c r="E17" s="13"/>
      <c r="F17" s="38"/>
      <c r="G17" s="38"/>
      <c r="H17" s="38"/>
      <c r="I17" s="37"/>
      <c r="J17" s="37"/>
      <c r="K17" s="37"/>
      <c r="L17" s="37"/>
      <c r="M17" s="37"/>
      <c r="N17" s="37"/>
      <c r="O17" s="37"/>
      <c r="P17" s="37"/>
      <c r="Q17" s="37"/>
      <c r="R17" s="38"/>
      <c r="S17" s="37"/>
      <c r="T17" s="37"/>
      <c r="U17" s="37"/>
    </row>
    <row r="18" spans="1:21" s="5" customFormat="1" x14ac:dyDescent="0.25">
      <c r="A18" s="13"/>
      <c r="B18" s="13"/>
      <c r="D18" s="13"/>
      <c r="E18" s="13"/>
      <c r="F18" s="38"/>
      <c r="G18" s="38"/>
      <c r="H18" s="38"/>
      <c r="I18" s="37"/>
      <c r="J18" s="37"/>
      <c r="K18" s="37"/>
      <c r="L18" s="37"/>
      <c r="M18" s="37"/>
      <c r="N18" s="37"/>
      <c r="O18" s="37"/>
      <c r="P18" s="37"/>
      <c r="Q18" s="37"/>
      <c r="R18" s="38"/>
      <c r="S18" s="37"/>
      <c r="T18" s="37"/>
      <c r="U18" s="37"/>
    </row>
    <row r="19" spans="1:21" s="5" customFormat="1" x14ac:dyDescent="0.25">
      <c r="A19" s="13"/>
      <c r="B19" s="13"/>
      <c r="D19" s="13"/>
      <c r="E19" s="13"/>
      <c r="F19" s="38"/>
      <c r="G19" s="38"/>
      <c r="H19" s="38"/>
      <c r="I19" s="37"/>
      <c r="J19" s="37"/>
      <c r="K19" s="37"/>
      <c r="L19" s="37"/>
      <c r="M19" s="37"/>
      <c r="N19" s="37"/>
      <c r="O19" s="37"/>
      <c r="P19" s="37"/>
      <c r="Q19" s="37"/>
      <c r="R19" s="38"/>
      <c r="S19" s="37"/>
      <c r="T19" s="37"/>
      <c r="U19" s="37"/>
    </row>
    <row r="20" spans="1:21" s="5" customFormat="1" x14ac:dyDescent="0.25">
      <c r="A20" s="13"/>
      <c r="B20" s="13"/>
      <c r="D20" s="13"/>
      <c r="E20" s="13"/>
      <c r="F20" s="38"/>
      <c r="G20" s="38"/>
      <c r="H20" s="38"/>
      <c r="I20" s="37"/>
      <c r="J20" s="37"/>
      <c r="K20" s="37"/>
      <c r="L20" s="37"/>
      <c r="M20" s="37"/>
      <c r="N20" s="37"/>
      <c r="O20" s="37"/>
      <c r="P20" s="37"/>
      <c r="Q20" s="37"/>
      <c r="R20" s="38"/>
      <c r="S20" s="37"/>
      <c r="T20" s="37"/>
      <c r="U20" s="37"/>
    </row>
    <row r="21" spans="1:21" s="5" customFormat="1" x14ac:dyDescent="0.25">
      <c r="A21" s="13"/>
      <c r="B21" s="13"/>
      <c r="D21" s="13"/>
      <c r="E21" s="13"/>
      <c r="F21" s="38"/>
      <c r="G21" s="38"/>
      <c r="H21" s="38"/>
      <c r="I21" s="37"/>
      <c r="J21" s="37"/>
      <c r="K21" s="37"/>
      <c r="L21" s="37"/>
      <c r="M21" s="37"/>
      <c r="N21" s="37"/>
      <c r="O21" s="37"/>
      <c r="P21" s="37"/>
      <c r="Q21" s="37"/>
      <c r="R21" s="38"/>
      <c r="S21" s="37"/>
      <c r="T21" s="37"/>
      <c r="U21" s="37"/>
    </row>
    <row r="22" spans="1:21" s="5" customFormat="1" ht="60" customHeight="1" x14ac:dyDescent="0.25">
      <c r="A22" s="13"/>
      <c r="B22" s="13"/>
      <c r="D22" s="13"/>
      <c r="E22" s="13"/>
      <c r="F22" s="38"/>
      <c r="G22" s="38"/>
      <c r="H22" s="38"/>
      <c r="I22" s="37"/>
      <c r="J22" s="37"/>
      <c r="K22" s="37"/>
      <c r="L22" s="37"/>
      <c r="M22" s="37"/>
      <c r="N22" s="37"/>
      <c r="O22" s="37"/>
      <c r="P22" s="37"/>
      <c r="Q22" s="37"/>
      <c r="R22" s="38"/>
      <c r="S22" s="37"/>
      <c r="T22" s="37"/>
      <c r="U22" s="37"/>
    </row>
    <row r="23" spans="1:21" s="5" customFormat="1" x14ac:dyDescent="0.25">
      <c r="A23" s="13"/>
      <c r="B23" s="13"/>
      <c r="D23" s="13"/>
      <c r="E23" s="13"/>
      <c r="F23" s="38"/>
      <c r="G23" s="38"/>
      <c r="H23" s="38"/>
      <c r="I23" s="37"/>
      <c r="J23" s="37"/>
      <c r="K23" s="37"/>
      <c r="L23" s="37"/>
      <c r="M23" s="37"/>
      <c r="N23" s="37"/>
      <c r="O23" s="37"/>
      <c r="P23" s="37"/>
      <c r="Q23" s="37"/>
      <c r="R23" s="38"/>
      <c r="S23" s="37"/>
      <c r="T23" s="37"/>
      <c r="U23" s="37"/>
    </row>
    <row r="24" spans="1:21" s="5" customFormat="1" x14ac:dyDescent="0.25">
      <c r="A24" s="13"/>
      <c r="B24" s="13"/>
      <c r="D24" s="13"/>
      <c r="E24" s="13"/>
      <c r="F24" s="38"/>
      <c r="G24" s="38"/>
      <c r="H24" s="38"/>
      <c r="I24" s="37"/>
      <c r="J24" s="37"/>
      <c r="K24" s="37"/>
      <c r="L24" s="37"/>
      <c r="M24" s="37"/>
      <c r="N24" s="37"/>
      <c r="O24" s="37"/>
      <c r="P24" s="37"/>
      <c r="Q24" s="37"/>
      <c r="R24" s="38"/>
      <c r="S24" s="37"/>
      <c r="T24" s="37"/>
      <c r="U24" s="37"/>
    </row>
    <row r="25" spans="1:21" s="5" customFormat="1" x14ac:dyDescent="0.25">
      <c r="A25" s="13"/>
      <c r="B25" s="13"/>
      <c r="D25" s="13"/>
      <c r="E25" s="13"/>
      <c r="F25" s="13"/>
      <c r="G25" s="13"/>
      <c r="H25" s="13"/>
      <c r="Q25" s="37"/>
      <c r="R25" s="13"/>
      <c r="S25" s="37"/>
      <c r="T25" s="37"/>
      <c r="U25" s="37"/>
    </row>
    <row r="26" spans="1:21" s="5" customFormat="1" x14ac:dyDescent="0.25">
      <c r="A26" s="13"/>
      <c r="B26" s="13"/>
      <c r="D26" s="13"/>
      <c r="E26" s="13"/>
      <c r="F26" s="13"/>
      <c r="G26" s="13"/>
      <c r="H26" s="13"/>
      <c r="Q26" s="37"/>
      <c r="R26" s="13"/>
      <c r="S26" s="37"/>
      <c r="T26" s="37"/>
      <c r="U26" s="37"/>
    </row>
    <row r="27" spans="1:21" s="5" customFormat="1" x14ac:dyDescent="0.25">
      <c r="A27" s="13"/>
      <c r="B27" s="13"/>
      <c r="D27" s="13"/>
      <c r="E27" s="13"/>
      <c r="F27" s="13"/>
      <c r="G27" s="13"/>
      <c r="H27" s="13"/>
      <c r="Q27" s="37"/>
      <c r="R27" s="13"/>
      <c r="S27" s="37"/>
      <c r="T27" s="37"/>
      <c r="U27" s="37"/>
    </row>
    <row r="28" spans="1:21" s="5" customFormat="1" x14ac:dyDescent="0.25">
      <c r="A28" s="13"/>
      <c r="B28" s="13"/>
      <c r="D28" s="13"/>
      <c r="E28" s="13"/>
      <c r="F28" s="13"/>
      <c r="G28" s="13"/>
      <c r="H28" s="13"/>
      <c r="Q28" s="37"/>
      <c r="R28" s="13"/>
      <c r="T28" s="37"/>
      <c r="U28" s="37"/>
    </row>
    <row r="29" spans="1:21" s="5" customFormat="1" x14ac:dyDescent="0.25">
      <c r="A29" s="13"/>
      <c r="B29" s="13"/>
      <c r="D29" s="13"/>
      <c r="E29" s="13"/>
      <c r="F29" s="13"/>
      <c r="G29" s="13"/>
      <c r="H29" s="13"/>
      <c r="Q29" s="37"/>
      <c r="R29" s="13"/>
      <c r="T29" s="37"/>
      <c r="U29" s="37"/>
    </row>
    <row r="30" spans="1:21" s="5" customFormat="1" x14ac:dyDescent="0.25">
      <c r="A30" s="13"/>
      <c r="B30" s="13"/>
      <c r="D30" s="13"/>
      <c r="E30" s="13"/>
      <c r="F30" s="13"/>
      <c r="G30" s="13"/>
      <c r="H30" s="13"/>
      <c r="Q30" s="37"/>
      <c r="R30" s="13"/>
      <c r="S30" s="37"/>
      <c r="T30" s="37"/>
      <c r="U30" s="37"/>
    </row>
    <row r="31" spans="1:21" s="5" customFormat="1" x14ac:dyDescent="0.25">
      <c r="A31" s="13"/>
      <c r="B31" s="13"/>
      <c r="D31" s="13"/>
      <c r="E31" s="13"/>
      <c r="F31" s="13"/>
      <c r="G31" s="13"/>
      <c r="H31" s="13"/>
      <c r="Q31" s="37"/>
      <c r="R31" s="13"/>
      <c r="S31" s="37"/>
      <c r="T31" s="37"/>
      <c r="U31" s="37"/>
    </row>
    <row r="32" spans="1:21" s="5" customFormat="1" x14ac:dyDescent="0.25">
      <c r="A32" s="13"/>
      <c r="B32" s="13"/>
      <c r="D32" s="13"/>
      <c r="E32" s="13"/>
      <c r="F32" s="13"/>
      <c r="G32" s="13"/>
      <c r="H32" s="13"/>
      <c r="Q32" s="37"/>
      <c r="R32" s="13"/>
      <c r="S32" s="37"/>
      <c r="T32" s="37"/>
      <c r="U32" s="37"/>
    </row>
    <row r="33" spans="1:21" x14ac:dyDescent="0.25">
      <c r="A33" s="13"/>
      <c r="C33" s="5"/>
      <c r="D33" s="13"/>
      <c r="E33" s="13"/>
      <c r="I33" s="5"/>
      <c r="J33" s="5"/>
      <c r="K33" s="5"/>
      <c r="L33" s="5"/>
      <c r="M33" s="5"/>
      <c r="N33" s="5"/>
      <c r="O33" s="5"/>
      <c r="P33" s="5"/>
      <c r="Q33" s="37"/>
      <c r="S33" s="5"/>
      <c r="T33" s="37"/>
      <c r="U33" s="37"/>
    </row>
    <row r="34" spans="1:21" x14ac:dyDescent="0.25">
      <c r="A34" s="13"/>
      <c r="C34" s="5"/>
      <c r="D34" s="13"/>
      <c r="E34" s="13"/>
      <c r="I34" s="5"/>
      <c r="J34" s="5"/>
      <c r="K34" s="5"/>
      <c r="L34" s="5"/>
      <c r="M34" s="5"/>
      <c r="N34" s="5"/>
      <c r="O34" s="5"/>
      <c r="P34" s="5"/>
      <c r="Q34" s="37"/>
      <c r="S34" s="5"/>
      <c r="T34" s="37"/>
      <c r="U34" s="37"/>
    </row>
    <row r="35" spans="1:21" x14ac:dyDescent="0.25">
      <c r="A35" s="13"/>
      <c r="C35" s="5"/>
      <c r="D35" s="13"/>
      <c r="E35" s="13"/>
      <c r="I35" s="5"/>
      <c r="J35" s="5"/>
      <c r="K35" s="5"/>
      <c r="L35" s="5"/>
      <c r="M35" s="5"/>
      <c r="N35" s="5"/>
      <c r="O35" s="5"/>
      <c r="P35" s="5"/>
      <c r="Q35" s="37"/>
      <c r="S35" s="37"/>
      <c r="T35" s="37"/>
      <c r="U35" s="37"/>
    </row>
    <row r="36" spans="1:21" x14ac:dyDescent="0.25">
      <c r="A36" s="13"/>
      <c r="B36" s="13"/>
      <c r="C36" s="5"/>
      <c r="D36" s="13"/>
      <c r="E36" s="13"/>
      <c r="F36" s="13"/>
      <c r="G36" s="13"/>
      <c r="H36" s="13"/>
      <c r="I36" s="5"/>
      <c r="J36" s="5"/>
      <c r="K36" s="5"/>
      <c r="L36" s="5"/>
      <c r="M36" s="5"/>
      <c r="N36" s="5"/>
      <c r="O36" s="5"/>
      <c r="P36" s="5"/>
      <c r="Q36" s="37"/>
      <c r="S36" s="5"/>
      <c r="T36" s="37"/>
      <c r="U36" s="37"/>
    </row>
    <row r="37" spans="1:21" s="8" customFormat="1" x14ac:dyDescent="0.25">
      <c r="A37" s="13"/>
      <c r="B37" s="13"/>
      <c r="C37" s="13"/>
      <c r="D37" s="13"/>
      <c r="E37" s="38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</row>
    <row r="38" spans="1:21" x14ac:dyDescent="0.25">
      <c r="A38" s="13"/>
      <c r="B38" s="13"/>
      <c r="C38" s="5"/>
      <c r="D38" s="13"/>
      <c r="E38" s="13"/>
      <c r="F38" s="13"/>
      <c r="G38" s="13"/>
      <c r="H38" s="13"/>
      <c r="I38" s="5"/>
      <c r="J38" s="5"/>
      <c r="K38" s="5"/>
      <c r="L38" s="5"/>
      <c r="M38" s="5"/>
      <c r="N38" s="5"/>
      <c r="O38" s="5"/>
      <c r="P38" s="5"/>
      <c r="Q38" s="37"/>
      <c r="R38" s="13"/>
      <c r="S38" s="13"/>
      <c r="T38" s="38"/>
      <c r="U38" s="38"/>
    </row>
  </sheetData>
  <mergeCells count="14">
    <mergeCell ref="E1:F1"/>
    <mergeCell ref="R2:T2"/>
    <mergeCell ref="G2:H2"/>
    <mergeCell ref="I2:J2"/>
    <mergeCell ref="G1:U1"/>
    <mergeCell ref="U2:U3"/>
    <mergeCell ref="Q2:Q3"/>
    <mergeCell ref="E2:E3"/>
    <mergeCell ref="F2:F3"/>
    <mergeCell ref="A1:A3"/>
    <mergeCell ref="B1:B3"/>
    <mergeCell ref="C1:D1"/>
    <mergeCell ref="C2:C3"/>
    <mergeCell ref="D2:D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E7D8C-A890-4F55-8124-FBDE5DE7BCE5}">
  <dimension ref="A1:U108"/>
  <sheetViews>
    <sheetView topLeftCell="N1" workbookViewId="0">
      <selection activeCell="Y17" sqref="Y17"/>
    </sheetView>
  </sheetViews>
  <sheetFormatPr baseColWidth="10" defaultRowHeight="15" x14ac:dyDescent="0.25"/>
  <cols>
    <col min="1" max="1" width="24.28515625" customWidth="1"/>
    <col min="2" max="2" width="14.7109375" bestFit="1" customWidth="1"/>
    <col min="3" max="3" width="22.140625" customWidth="1"/>
    <col min="5" max="5" width="12.28515625" customWidth="1"/>
  </cols>
  <sheetData>
    <row r="1" spans="1:21" x14ac:dyDescent="0.25">
      <c r="A1" s="43" t="s">
        <v>242</v>
      </c>
      <c r="R1" s="78" t="s">
        <v>308</v>
      </c>
      <c r="S1" s="78" t="s">
        <v>307</v>
      </c>
    </row>
    <row r="2" spans="1:21" x14ac:dyDescent="0.25">
      <c r="R2" s="78"/>
      <c r="S2" s="78"/>
    </row>
    <row r="3" spans="1:21" x14ac:dyDescent="0.25">
      <c r="A3" s="45" t="s">
        <v>243</v>
      </c>
      <c r="B3" s="45" t="s">
        <v>244</v>
      </c>
      <c r="R3" s="70" t="s">
        <v>143</v>
      </c>
      <c r="S3" s="68">
        <v>0.89312499999999995</v>
      </c>
      <c r="T3" s="7" t="s">
        <v>311</v>
      </c>
      <c r="U3" s="7">
        <v>10</v>
      </c>
    </row>
    <row r="4" spans="1:21" ht="30" x14ac:dyDescent="0.25">
      <c r="A4" s="44" t="s">
        <v>245</v>
      </c>
      <c r="B4" s="44">
        <v>36</v>
      </c>
      <c r="R4" s="70" t="s">
        <v>143</v>
      </c>
      <c r="S4" s="68">
        <v>0.85749999999999993</v>
      </c>
      <c r="T4" s="7" t="s">
        <v>312</v>
      </c>
      <c r="U4" s="7">
        <v>17</v>
      </c>
    </row>
    <row r="5" spans="1:21" x14ac:dyDescent="0.25">
      <c r="A5" s="44" t="s">
        <v>246</v>
      </c>
      <c r="B5" s="44">
        <v>2257</v>
      </c>
      <c r="R5" s="70" t="s">
        <v>143</v>
      </c>
      <c r="S5" s="68">
        <v>0.89312499999999995</v>
      </c>
      <c r="T5" s="7" t="s">
        <v>154</v>
      </c>
      <c r="U5" s="7">
        <v>4</v>
      </c>
    </row>
    <row r="6" spans="1:21" x14ac:dyDescent="0.25">
      <c r="A6" s="44" t="s">
        <v>247</v>
      </c>
      <c r="B6" s="44">
        <v>101</v>
      </c>
      <c r="R6" s="70" t="s">
        <v>143</v>
      </c>
      <c r="S6" s="68">
        <v>0.89312499999999995</v>
      </c>
      <c r="T6" s="7" t="s">
        <v>313</v>
      </c>
      <c r="U6" s="7">
        <v>5</v>
      </c>
    </row>
    <row r="7" spans="1:21" ht="30" x14ac:dyDescent="0.25">
      <c r="A7" s="44" t="s">
        <v>248</v>
      </c>
      <c r="B7" s="44">
        <v>2.9</v>
      </c>
      <c r="R7" s="70" t="s">
        <v>143</v>
      </c>
      <c r="S7" s="68">
        <v>0.89312499999999995</v>
      </c>
    </row>
    <row r="8" spans="1:21" x14ac:dyDescent="0.25">
      <c r="A8" s="46"/>
      <c r="B8" s="46"/>
      <c r="R8" s="71" t="s">
        <v>309</v>
      </c>
      <c r="S8" s="68">
        <v>0.92874999999999996</v>
      </c>
    </row>
    <row r="9" spans="1:21" x14ac:dyDescent="0.25">
      <c r="A9" s="46"/>
      <c r="B9" s="46"/>
      <c r="R9" s="71" t="s">
        <v>309</v>
      </c>
      <c r="S9" s="68">
        <v>0.97</v>
      </c>
    </row>
    <row r="10" spans="1:21" x14ac:dyDescent="0.25">
      <c r="R10" s="70" t="s">
        <v>143</v>
      </c>
      <c r="S10" s="68">
        <v>0.89312499999999995</v>
      </c>
    </row>
    <row r="11" spans="1:21" x14ac:dyDescent="0.25">
      <c r="R11" s="70" t="s">
        <v>143</v>
      </c>
      <c r="S11" s="68">
        <v>0.80400000000000005</v>
      </c>
    </row>
    <row r="12" spans="1:21" ht="30" x14ac:dyDescent="0.25">
      <c r="A12" s="49" t="s">
        <v>249</v>
      </c>
      <c r="B12" s="48" t="s">
        <v>250</v>
      </c>
      <c r="C12" s="50" t="s">
        <v>251</v>
      </c>
      <c r="R12" s="71" t="s">
        <v>309</v>
      </c>
      <c r="S12" s="68">
        <v>0.92874999999999996</v>
      </c>
    </row>
    <row r="13" spans="1:21" ht="30" x14ac:dyDescent="0.25">
      <c r="A13" s="44" t="s">
        <v>252</v>
      </c>
      <c r="B13" s="44">
        <v>31</v>
      </c>
      <c r="C13" s="44">
        <v>88.6</v>
      </c>
      <c r="R13" s="70" t="s">
        <v>143</v>
      </c>
      <c r="S13" s="68">
        <v>0.85037499999999999</v>
      </c>
    </row>
    <row r="14" spans="1:21" ht="30" x14ac:dyDescent="0.25">
      <c r="A14" s="44" t="s">
        <v>253</v>
      </c>
      <c r="B14" s="44">
        <v>3</v>
      </c>
      <c r="C14" s="44">
        <v>8.6</v>
      </c>
      <c r="R14" s="70" t="s">
        <v>143</v>
      </c>
      <c r="S14" s="68">
        <v>0.85037499999999999</v>
      </c>
    </row>
    <row r="15" spans="1:21" ht="30" x14ac:dyDescent="0.25">
      <c r="A15" s="44" t="s">
        <v>254</v>
      </c>
      <c r="B15" s="44">
        <v>1</v>
      </c>
      <c r="C15" s="44">
        <v>2.8</v>
      </c>
      <c r="R15" s="72" t="s">
        <v>154</v>
      </c>
      <c r="S15" s="68">
        <v>0.66749999999999998</v>
      </c>
    </row>
    <row r="16" spans="1:21" x14ac:dyDescent="0.25">
      <c r="A16" s="44" t="s">
        <v>255</v>
      </c>
      <c r="B16" s="44">
        <v>35</v>
      </c>
      <c r="C16" s="44">
        <v>100</v>
      </c>
      <c r="R16" s="72" t="s">
        <v>154</v>
      </c>
      <c r="S16" s="68">
        <v>0.66749999999999998</v>
      </c>
    </row>
    <row r="17" spans="1:19" x14ac:dyDescent="0.25">
      <c r="R17" s="72" t="s">
        <v>154</v>
      </c>
      <c r="S17" s="68">
        <v>0.66749999999999998</v>
      </c>
    </row>
    <row r="18" spans="1:19" x14ac:dyDescent="0.25">
      <c r="R18" s="71" t="s">
        <v>311</v>
      </c>
      <c r="S18" s="68">
        <v>0.9</v>
      </c>
    </row>
    <row r="19" spans="1:19" x14ac:dyDescent="0.25">
      <c r="R19" s="73" t="s">
        <v>310</v>
      </c>
      <c r="S19" s="68">
        <v>0.76249999999999996</v>
      </c>
    </row>
    <row r="20" spans="1:19" ht="35.25" customHeight="1" x14ac:dyDescent="0.25">
      <c r="A20" s="51" t="s">
        <v>256</v>
      </c>
      <c r="B20" s="51" t="s">
        <v>257</v>
      </c>
      <c r="C20" s="51" t="s">
        <v>258</v>
      </c>
      <c r="R20" s="73" t="s">
        <v>310</v>
      </c>
      <c r="S20" s="68">
        <v>0.76249999999999996</v>
      </c>
    </row>
    <row r="21" spans="1:19" ht="30" x14ac:dyDescent="0.25">
      <c r="A21" s="47" t="s">
        <v>117</v>
      </c>
      <c r="B21" s="57">
        <v>31</v>
      </c>
      <c r="C21" s="47" t="s">
        <v>259</v>
      </c>
      <c r="R21" s="73" t="s">
        <v>310</v>
      </c>
      <c r="S21" s="68">
        <v>0.76249999999999996</v>
      </c>
    </row>
    <row r="22" spans="1:19" x14ac:dyDescent="0.25">
      <c r="A22" s="47" t="s">
        <v>260</v>
      </c>
      <c r="B22" s="58">
        <v>4</v>
      </c>
      <c r="C22" s="47" t="s">
        <v>261</v>
      </c>
      <c r="R22" s="71" t="s">
        <v>311</v>
      </c>
      <c r="S22" s="68">
        <v>0.94</v>
      </c>
    </row>
    <row r="23" spans="1:19" x14ac:dyDescent="0.25">
      <c r="A23" s="47" t="s">
        <v>262</v>
      </c>
      <c r="B23" s="59">
        <v>1</v>
      </c>
      <c r="C23" s="47" t="s">
        <v>261</v>
      </c>
      <c r="R23" s="71" t="s">
        <v>311</v>
      </c>
      <c r="S23" s="68">
        <v>0.92500000000000004</v>
      </c>
    </row>
    <row r="24" spans="1:19" x14ac:dyDescent="0.25">
      <c r="A24" s="52" t="s">
        <v>255</v>
      </c>
      <c r="B24" s="52">
        <f>SUM(B21:B23)</f>
        <v>36</v>
      </c>
      <c r="C24" s="52"/>
      <c r="R24" s="70" t="s">
        <v>143</v>
      </c>
      <c r="S24" s="68">
        <v>0.89500000000000002</v>
      </c>
    </row>
    <row r="25" spans="1:19" x14ac:dyDescent="0.25">
      <c r="A25" s="52"/>
      <c r="B25" s="52"/>
      <c r="C25" s="52"/>
      <c r="R25" s="71" t="s">
        <v>311</v>
      </c>
      <c r="S25" s="68">
        <v>0.95499999999999996</v>
      </c>
    </row>
    <row r="26" spans="1:19" x14ac:dyDescent="0.25">
      <c r="A26" s="51" t="s">
        <v>15</v>
      </c>
      <c r="B26" s="51" t="s">
        <v>270</v>
      </c>
      <c r="C26" s="51" t="s">
        <v>298</v>
      </c>
      <c r="R26" s="73" t="s">
        <v>310</v>
      </c>
      <c r="S26" s="68">
        <v>0.76249999999999996</v>
      </c>
    </row>
    <row r="27" spans="1:19" x14ac:dyDescent="0.25">
      <c r="A27" s="47" t="s">
        <v>267</v>
      </c>
      <c r="B27" s="57">
        <v>23</v>
      </c>
      <c r="C27" s="64">
        <f>(B27*100)/B33</f>
        <v>40.350877192982459</v>
      </c>
      <c r="R27" s="73" t="s">
        <v>310</v>
      </c>
      <c r="S27" s="68">
        <v>0.76249999999999996</v>
      </c>
    </row>
    <row r="28" spans="1:19" ht="36" customHeight="1" x14ac:dyDescent="0.25">
      <c r="A28" s="47" t="s">
        <v>268</v>
      </c>
      <c r="B28" s="58">
        <v>13</v>
      </c>
      <c r="C28" s="64">
        <f>(B28*100)/B33</f>
        <v>22.807017543859651</v>
      </c>
      <c r="R28" s="71" t="s">
        <v>311</v>
      </c>
      <c r="S28" s="68">
        <v>0.9</v>
      </c>
    </row>
    <row r="29" spans="1:19" ht="16.5" customHeight="1" x14ac:dyDescent="0.25">
      <c r="A29" s="47" t="s">
        <v>202</v>
      </c>
      <c r="B29" s="57">
        <v>1</v>
      </c>
      <c r="C29" s="64">
        <f>(B29*100)/B33</f>
        <v>1.7543859649122806</v>
      </c>
      <c r="R29" s="70" t="s">
        <v>143</v>
      </c>
      <c r="S29" s="68">
        <v>0.82187500000000002</v>
      </c>
    </row>
    <row r="30" spans="1:19" ht="35.25" customHeight="1" x14ac:dyDescent="0.25">
      <c r="A30" s="47" t="s">
        <v>269</v>
      </c>
      <c r="B30" s="59">
        <v>9</v>
      </c>
      <c r="C30" s="64">
        <f>(B30*100)/B33</f>
        <v>15.789473684210526</v>
      </c>
      <c r="R30" s="72" t="s">
        <v>154</v>
      </c>
      <c r="S30" s="68">
        <v>0.67937500000000006</v>
      </c>
    </row>
    <row r="31" spans="1:19" x14ac:dyDescent="0.25">
      <c r="A31" s="47" t="s">
        <v>196</v>
      </c>
      <c r="B31" s="47">
        <v>10</v>
      </c>
      <c r="C31" s="64">
        <f>(B31*100)/B33</f>
        <v>17.543859649122808</v>
      </c>
      <c r="R31" s="70" t="s">
        <v>143</v>
      </c>
      <c r="S31" s="68">
        <v>0.89500000000000002</v>
      </c>
    </row>
    <row r="32" spans="1:19" x14ac:dyDescent="0.25">
      <c r="A32" s="63" t="s">
        <v>186</v>
      </c>
      <c r="B32" s="63">
        <v>1</v>
      </c>
      <c r="C32" s="64">
        <f t="shared" ref="C32" si="0">(B32*100)/B38</f>
        <v>3.225806451612903</v>
      </c>
      <c r="R32" s="70" t="s">
        <v>143</v>
      </c>
      <c r="S32" s="68">
        <v>0.89500000000000002</v>
      </c>
    </row>
    <row r="33" spans="1:19" x14ac:dyDescent="0.25">
      <c r="A33" s="47" t="s">
        <v>255</v>
      </c>
      <c r="B33" s="47">
        <f>SUM(B27:B32)</f>
        <v>57</v>
      </c>
      <c r="C33" s="64">
        <f>(B33*100)/B33</f>
        <v>100</v>
      </c>
      <c r="R33" s="70" t="s">
        <v>143</v>
      </c>
      <c r="S33" s="68">
        <v>0.85299999999999998</v>
      </c>
    </row>
    <row r="34" spans="1:19" x14ac:dyDescent="0.25">
      <c r="R34" s="70" t="s">
        <v>143</v>
      </c>
      <c r="S34" s="68">
        <v>0.89312499999999995</v>
      </c>
    </row>
    <row r="35" spans="1:19" ht="31.5" customHeight="1" x14ac:dyDescent="0.25">
      <c r="A35" s="51" t="s">
        <v>265</v>
      </c>
      <c r="B35" s="51" t="s">
        <v>0</v>
      </c>
      <c r="C35" s="51" t="s">
        <v>2</v>
      </c>
      <c r="D35" s="51" t="s">
        <v>266</v>
      </c>
      <c r="E35" s="51" t="s">
        <v>196</v>
      </c>
      <c r="F35" s="51" t="s">
        <v>186</v>
      </c>
      <c r="R35" s="71" t="s">
        <v>311</v>
      </c>
      <c r="S35" s="68">
        <v>0.98124999999999996</v>
      </c>
    </row>
    <row r="36" spans="1:19" x14ac:dyDescent="0.25">
      <c r="A36" s="47" t="s">
        <v>263</v>
      </c>
      <c r="B36" s="47">
        <v>26</v>
      </c>
      <c r="C36" s="47">
        <v>3</v>
      </c>
      <c r="D36" s="47">
        <v>2</v>
      </c>
      <c r="E36" s="47">
        <v>4</v>
      </c>
      <c r="F36" s="47">
        <v>1</v>
      </c>
      <c r="R36" s="70" t="s">
        <v>143</v>
      </c>
      <c r="S36" s="68">
        <v>0.89312499999999995</v>
      </c>
    </row>
    <row r="37" spans="1:19" x14ac:dyDescent="0.25">
      <c r="A37" s="47" t="s">
        <v>264</v>
      </c>
      <c r="B37" s="47">
        <v>30</v>
      </c>
      <c r="C37" s="47">
        <v>1</v>
      </c>
      <c r="D37" s="47">
        <v>0</v>
      </c>
      <c r="E37" s="47">
        <v>4</v>
      </c>
      <c r="F37" s="47">
        <v>1</v>
      </c>
      <c r="R37" s="71" t="s">
        <v>311</v>
      </c>
      <c r="S37" s="68">
        <v>0.95499999999999996</v>
      </c>
    </row>
    <row r="38" spans="1:19" ht="30" x14ac:dyDescent="0.25">
      <c r="A38" s="47" t="s">
        <v>133</v>
      </c>
      <c r="B38" s="47">
        <v>31</v>
      </c>
      <c r="C38" s="47">
        <v>0</v>
      </c>
      <c r="D38" s="47">
        <v>0</v>
      </c>
      <c r="E38" s="47">
        <v>4</v>
      </c>
      <c r="F38" s="47">
        <v>1</v>
      </c>
      <c r="R38" s="70" t="s">
        <v>143</v>
      </c>
      <c r="S38" s="68">
        <v>0.89312499999999995</v>
      </c>
    </row>
    <row r="40" spans="1:19" x14ac:dyDescent="0.25">
      <c r="A40" s="51" t="s">
        <v>271</v>
      </c>
      <c r="B40" s="51" t="s">
        <v>281</v>
      </c>
    </row>
    <row r="41" spans="1:19" x14ac:dyDescent="0.25">
      <c r="A41" s="47" t="s">
        <v>272</v>
      </c>
      <c r="B41" s="47">
        <v>19</v>
      </c>
    </row>
    <row r="42" spans="1:19" ht="30" x14ac:dyDescent="0.25">
      <c r="A42" s="47" t="s">
        <v>273</v>
      </c>
      <c r="B42" s="47">
        <v>12</v>
      </c>
    </row>
    <row r="43" spans="1:19" x14ac:dyDescent="0.25">
      <c r="A43" s="47" t="s">
        <v>274</v>
      </c>
      <c r="B43" s="47">
        <v>1</v>
      </c>
    </row>
    <row r="44" spans="1:19" x14ac:dyDescent="0.25">
      <c r="A44" s="47" t="s">
        <v>196</v>
      </c>
      <c r="B44" s="47">
        <v>2</v>
      </c>
    </row>
    <row r="45" spans="1:19" x14ac:dyDescent="0.25">
      <c r="A45" s="47" t="s">
        <v>186</v>
      </c>
      <c r="B45" s="47">
        <v>1</v>
      </c>
    </row>
    <row r="46" spans="1:19" x14ac:dyDescent="0.25">
      <c r="A46" s="52" t="s">
        <v>255</v>
      </c>
      <c r="B46" s="52">
        <f>SUM(B41:B45)</f>
        <v>35</v>
      </c>
    </row>
    <row r="48" spans="1:19" ht="30" x14ac:dyDescent="0.25">
      <c r="A48" s="51" t="s">
        <v>19</v>
      </c>
      <c r="B48" s="51" t="s">
        <v>282</v>
      </c>
    </row>
    <row r="49" spans="1:2" x14ac:dyDescent="0.25">
      <c r="A49" s="47" t="s">
        <v>175</v>
      </c>
      <c r="B49" s="47">
        <v>31</v>
      </c>
    </row>
    <row r="50" spans="1:2" x14ac:dyDescent="0.25">
      <c r="A50" s="47" t="s">
        <v>283</v>
      </c>
      <c r="B50" s="47">
        <v>4</v>
      </c>
    </row>
    <row r="51" spans="1:2" x14ac:dyDescent="0.25">
      <c r="A51" s="47" t="s">
        <v>186</v>
      </c>
      <c r="B51" s="47">
        <v>1</v>
      </c>
    </row>
    <row r="52" spans="1:2" ht="15.75" x14ac:dyDescent="0.25">
      <c r="A52" s="66" t="s">
        <v>255</v>
      </c>
      <c r="B52" s="66">
        <f>SUM(B49:B51)</f>
        <v>36</v>
      </c>
    </row>
    <row r="54" spans="1:2" ht="30" x14ac:dyDescent="0.25">
      <c r="A54" s="51" t="s">
        <v>288</v>
      </c>
      <c r="B54" s="51" t="s">
        <v>282</v>
      </c>
    </row>
    <row r="55" spans="1:2" x14ac:dyDescent="0.25">
      <c r="A55" s="47" t="s">
        <v>289</v>
      </c>
      <c r="B55" s="47">
        <v>27</v>
      </c>
    </row>
    <row r="56" spans="1:2" x14ac:dyDescent="0.25">
      <c r="A56" s="47" t="s">
        <v>290</v>
      </c>
      <c r="B56" s="47">
        <v>8</v>
      </c>
    </row>
    <row r="57" spans="1:2" x14ac:dyDescent="0.25">
      <c r="A57" s="6" t="s">
        <v>186</v>
      </c>
      <c r="B57" s="6">
        <v>1</v>
      </c>
    </row>
    <row r="58" spans="1:2" x14ac:dyDescent="0.25">
      <c r="A58" s="56" t="s">
        <v>255</v>
      </c>
      <c r="B58" s="56">
        <f>SUM(B55:B57)</f>
        <v>36</v>
      </c>
    </row>
    <row r="60" spans="1:2" ht="30" x14ac:dyDescent="0.25">
      <c r="A60" s="51" t="s">
        <v>21</v>
      </c>
      <c r="B60" s="51" t="s">
        <v>282</v>
      </c>
    </row>
    <row r="61" spans="1:2" x14ac:dyDescent="0.25">
      <c r="A61" s="2" t="s">
        <v>143</v>
      </c>
      <c r="B61" s="7">
        <v>7</v>
      </c>
    </row>
    <row r="62" spans="1:2" x14ac:dyDescent="0.25">
      <c r="A62" s="2" t="s">
        <v>292</v>
      </c>
      <c r="B62" s="7">
        <v>22</v>
      </c>
    </row>
    <row r="63" spans="1:2" x14ac:dyDescent="0.25">
      <c r="A63" s="2" t="s">
        <v>154</v>
      </c>
      <c r="B63" s="7">
        <v>6</v>
      </c>
    </row>
    <row r="64" spans="1:2" x14ac:dyDescent="0.25">
      <c r="A64" s="55" t="s">
        <v>186</v>
      </c>
      <c r="B64" s="7">
        <v>1</v>
      </c>
    </row>
    <row r="65" spans="1:3" ht="15.75" x14ac:dyDescent="0.25">
      <c r="A65" s="65" t="s">
        <v>255</v>
      </c>
      <c r="B65" s="56">
        <f>SUM(B61:B64)</f>
        <v>36</v>
      </c>
    </row>
    <row r="67" spans="1:3" ht="30" x14ac:dyDescent="0.25">
      <c r="A67" s="51" t="s">
        <v>178</v>
      </c>
      <c r="B67" s="51" t="s">
        <v>282</v>
      </c>
    </row>
    <row r="68" spans="1:3" x14ac:dyDescent="0.25">
      <c r="A68" s="2" t="s">
        <v>143</v>
      </c>
      <c r="B68" s="7">
        <v>7</v>
      </c>
    </row>
    <row r="69" spans="1:3" x14ac:dyDescent="0.25">
      <c r="A69" s="2" t="s">
        <v>292</v>
      </c>
      <c r="B69" s="7">
        <v>23</v>
      </c>
    </row>
    <row r="70" spans="1:3" x14ac:dyDescent="0.25">
      <c r="A70" s="2" t="s">
        <v>154</v>
      </c>
      <c r="B70" s="7">
        <v>3</v>
      </c>
    </row>
    <row r="71" spans="1:3" x14ac:dyDescent="0.25">
      <c r="A71" s="55" t="s">
        <v>186</v>
      </c>
      <c r="B71" s="7">
        <v>1</v>
      </c>
    </row>
    <row r="72" spans="1:3" ht="15.75" x14ac:dyDescent="0.25">
      <c r="A72" s="65" t="s">
        <v>255</v>
      </c>
      <c r="B72" s="56">
        <f>SUM(B68:B71)</f>
        <v>34</v>
      </c>
    </row>
    <row r="74" spans="1:3" ht="30" x14ac:dyDescent="0.25">
      <c r="A74" s="51" t="s">
        <v>293</v>
      </c>
      <c r="B74" s="51" t="s">
        <v>282</v>
      </c>
      <c r="C74" s="51" t="s">
        <v>301</v>
      </c>
    </row>
    <row r="75" spans="1:3" x14ac:dyDescent="0.25">
      <c r="A75" s="2" t="s">
        <v>151</v>
      </c>
      <c r="B75" s="7">
        <v>2</v>
      </c>
      <c r="C75" s="67">
        <f>(B75*100)/B79</f>
        <v>5.7142857142857144</v>
      </c>
    </row>
    <row r="76" spans="1:3" x14ac:dyDescent="0.25">
      <c r="A76" s="2" t="s">
        <v>134</v>
      </c>
      <c r="B76" s="7">
        <v>17</v>
      </c>
      <c r="C76" s="67">
        <f>(B76*100)/B79</f>
        <v>48.571428571428569</v>
      </c>
    </row>
    <row r="77" spans="1:3" x14ac:dyDescent="0.25">
      <c r="A77" s="2" t="s">
        <v>300</v>
      </c>
      <c r="B77" s="7">
        <v>11</v>
      </c>
      <c r="C77" s="67">
        <f>(B77*100)/B79</f>
        <v>31.428571428571427</v>
      </c>
    </row>
    <row r="78" spans="1:3" x14ac:dyDescent="0.25">
      <c r="A78" s="2" t="s">
        <v>186</v>
      </c>
      <c r="B78" s="7">
        <v>5</v>
      </c>
      <c r="C78" s="67">
        <f>(B78*100)/B79</f>
        <v>14.285714285714286</v>
      </c>
    </row>
    <row r="79" spans="1:3" x14ac:dyDescent="0.25">
      <c r="A79" s="56" t="s">
        <v>255</v>
      </c>
      <c r="B79" s="56">
        <f>SUM(B75:B78)</f>
        <v>35</v>
      </c>
      <c r="C79" s="67">
        <f>(B79*100)/B79</f>
        <v>100</v>
      </c>
    </row>
    <row r="81" spans="1:2" ht="30" x14ac:dyDescent="0.25">
      <c r="A81" s="51" t="s">
        <v>23</v>
      </c>
      <c r="B81" s="51" t="s">
        <v>282</v>
      </c>
    </row>
    <row r="82" spans="1:2" ht="33.75" customHeight="1" x14ac:dyDescent="0.25">
      <c r="A82" s="4" t="s">
        <v>157</v>
      </c>
      <c r="B82" s="9">
        <v>1</v>
      </c>
    </row>
    <row r="83" spans="1:2" ht="21.75" customHeight="1" x14ac:dyDescent="0.25">
      <c r="A83" s="4" t="s">
        <v>128</v>
      </c>
      <c r="B83" s="9">
        <v>12</v>
      </c>
    </row>
    <row r="84" spans="1:2" x14ac:dyDescent="0.25">
      <c r="A84" s="4" t="s">
        <v>294</v>
      </c>
      <c r="B84" s="9">
        <v>2</v>
      </c>
    </row>
    <row r="85" spans="1:2" ht="33.75" customHeight="1" x14ac:dyDescent="0.25">
      <c r="A85" s="4" t="s">
        <v>146</v>
      </c>
      <c r="B85" s="9">
        <v>2</v>
      </c>
    </row>
    <row r="86" spans="1:2" ht="30" x14ac:dyDescent="0.25">
      <c r="A86" s="4" t="s">
        <v>144</v>
      </c>
      <c r="B86" s="9">
        <v>1</v>
      </c>
    </row>
    <row r="87" spans="1:2" x14ac:dyDescent="0.25">
      <c r="A87" s="4" t="s">
        <v>186</v>
      </c>
      <c r="B87" s="9">
        <v>1</v>
      </c>
    </row>
    <row r="88" spans="1:2" x14ac:dyDescent="0.25">
      <c r="A88" s="54" t="s">
        <v>255</v>
      </c>
      <c r="B88" s="56">
        <f>SUM(B82:B87)</f>
        <v>19</v>
      </c>
    </row>
    <row r="90" spans="1:2" ht="30" x14ac:dyDescent="0.25">
      <c r="A90" s="51" t="s">
        <v>24</v>
      </c>
      <c r="B90" s="51" t="s">
        <v>282</v>
      </c>
    </row>
    <row r="91" spans="1:2" x14ac:dyDescent="0.25">
      <c r="A91" s="2" t="s">
        <v>171</v>
      </c>
      <c r="B91" s="2">
        <v>1</v>
      </c>
    </row>
    <row r="92" spans="1:2" x14ac:dyDescent="0.25">
      <c r="A92" s="2" t="s">
        <v>295</v>
      </c>
      <c r="B92" s="2">
        <v>2</v>
      </c>
    </row>
    <row r="93" spans="1:2" x14ac:dyDescent="0.25">
      <c r="A93" s="2" t="s">
        <v>170</v>
      </c>
      <c r="B93" s="2">
        <v>1</v>
      </c>
    </row>
    <row r="94" spans="1:2" x14ac:dyDescent="0.25">
      <c r="A94" s="2" t="s">
        <v>186</v>
      </c>
      <c r="B94" s="2">
        <v>3</v>
      </c>
    </row>
    <row r="95" spans="1:2" x14ac:dyDescent="0.25">
      <c r="A95" s="2" t="s">
        <v>196</v>
      </c>
      <c r="B95" s="2">
        <v>5</v>
      </c>
    </row>
    <row r="96" spans="1:2" x14ac:dyDescent="0.25">
      <c r="A96" s="2" t="s">
        <v>129</v>
      </c>
      <c r="B96" s="2">
        <v>26</v>
      </c>
    </row>
    <row r="97" spans="1:2" x14ac:dyDescent="0.25">
      <c r="A97" s="56" t="s">
        <v>255</v>
      </c>
      <c r="B97" s="56">
        <f>SUM(B91:B96)</f>
        <v>38</v>
      </c>
    </row>
    <row r="99" spans="1:2" x14ac:dyDescent="0.25">
      <c r="A99" s="51" t="s">
        <v>25</v>
      </c>
      <c r="B99" s="51" t="s">
        <v>282</v>
      </c>
    </row>
    <row r="100" spans="1:2" x14ac:dyDescent="0.25">
      <c r="A100" s="2" t="s">
        <v>186</v>
      </c>
      <c r="B100" s="2">
        <v>1</v>
      </c>
    </row>
    <row r="101" spans="1:2" x14ac:dyDescent="0.25">
      <c r="A101" s="2" t="s">
        <v>130</v>
      </c>
      <c r="B101" s="2">
        <v>35</v>
      </c>
    </row>
    <row r="102" spans="1:2" x14ac:dyDescent="0.25">
      <c r="A102" s="56" t="s">
        <v>255</v>
      </c>
      <c r="B102" s="56">
        <f>SUM(B100:B101)</f>
        <v>36</v>
      </c>
    </row>
    <row r="104" spans="1:2" ht="45" x14ac:dyDescent="0.25">
      <c r="A104" s="51" t="s">
        <v>27</v>
      </c>
      <c r="B104" s="51" t="s">
        <v>282</v>
      </c>
    </row>
    <row r="105" spans="1:2" ht="30" x14ac:dyDescent="0.25">
      <c r="A105" s="62" t="s">
        <v>296</v>
      </c>
      <c r="B105" s="2">
        <v>27</v>
      </c>
    </row>
    <row r="106" spans="1:2" x14ac:dyDescent="0.25">
      <c r="A106" s="2" t="s">
        <v>297</v>
      </c>
      <c r="B106" s="2">
        <v>8</v>
      </c>
    </row>
    <row r="107" spans="1:2" x14ac:dyDescent="0.25">
      <c r="A107" s="2" t="s">
        <v>186</v>
      </c>
      <c r="B107" s="2">
        <v>1</v>
      </c>
    </row>
    <row r="108" spans="1:2" x14ac:dyDescent="0.25">
      <c r="A108" s="1" t="s">
        <v>299</v>
      </c>
      <c r="B108" s="1">
        <f>SUM(B105:B107)</f>
        <v>36</v>
      </c>
    </row>
  </sheetData>
  <mergeCells count="2">
    <mergeCell ref="R1:R2"/>
    <mergeCell ref="S1:S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17014-2932-458E-BF41-AD20A4A493EA}">
  <dimension ref="B1:I37"/>
  <sheetViews>
    <sheetView tabSelected="1" topLeftCell="A3" zoomScale="90" zoomScaleNormal="90" workbookViewId="0">
      <selection activeCell="R5" sqref="R5"/>
    </sheetView>
  </sheetViews>
  <sheetFormatPr baseColWidth="10" defaultRowHeight="15" x14ac:dyDescent="0.25"/>
  <sheetData>
    <row r="1" spans="2:9" x14ac:dyDescent="0.25">
      <c r="B1" s="14" t="s">
        <v>319</v>
      </c>
      <c r="C1" s="14" t="s">
        <v>306</v>
      </c>
      <c r="D1" s="14" t="s">
        <v>317</v>
      </c>
      <c r="H1" s="14" t="s">
        <v>318</v>
      </c>
      <c r="I1" s="14" t="s">
        <v>320</v>
      </c>
    </row>
    <row r="2" spans="2:9" x14ac:dyDescent="0.25">
      <c r="B2" s="7">
        <v>1</v>
      </c>
      <c r="C2" s="102">
        <v>0.89312499999999995</v>
      </c>
      <c r="D2" s="103">
        <v>0.69649689975213103</v>
      </c>
      <c r="H2" s="104">
        <v>0</v>
      </c>
      <c r="I2" s="104">
        <f>(H2)^3.2</f>
        <v>0</v>
      </c>
    </row>
    <row r="3" spans="2:9" x14ac:dyDescent="0.25">
      <c r="B3" s="7">
        <v>2</v>
      </c>
      <c r="C3" s="102">
        <v>0.85749999999999993</v>
      </c>
      <c r="D3" s="103">
        <v>0.61143347488958655</v>
      </c>
      <c r="H3" s="104">
        <f>H2+(1/35)</f>
        <v>2.8571428571428571E-2</v>
      </c>
      <c r="I3" s="104">
        <f t="shared" ref="I3:I37" si="0">(H3)^3.2</f>
        <v>1.1454661455830583E-5</v>
      </c>
    </row>
    <row r="4" spans="2:9" x14ac:dyDescent="0.25">
      <c r="B4" s="7">
        <v>3</v>
      </c>
      <c r="C4" s="102">
        <v>0.89312499999999995</v>
      </c>
      <c r="D4" s="103">
        <v>0.69649689975213147</v>
      </c>
      <c r="H4" s="104">
        <f t="shared" ref="H4:H37" si="1">H3+(1/35)</f>
        <v>5.7142857142857141E-2</v>
      </c>
      <c r="I4" s="104">
        <f t="shared" si="0"/>
        <v>1.0526360617088429E-4</v>
      </c>
    </row>
    <row r="5" spans="2:9" x14ac:dyDescent="0.25">
      <c r="B5" s="7">
        <v>4</v>
      </c>
      <c r="C5" s="102">
        <v>0.89312499999999995</v>
      </c>
      <c r="D5" s="103">
        <v>0.69649689975213147</v>
      </c>
      <c r="H5" s="104">
        <f t="shared" si="1"/>
        <v>8.5714285714285715E-2</v>
      </c>
      <c r="I5" s="104">
        <f t="shared" si="0"/>
        <v>3.8527450681543626E-4</v>
      </c>
    </row>
    <row r="6" spans="2:9" x14ac:dyDescent="0.25">
      <c r="B6" s="7">
        <v>5</v>
      </c>
      <c r="C6" s="102">
        <v>0.89312499999999995</v>
      </c>
      <c r="D6" s="103">
        <v>0.69649689975213147</v>
      </c>
      <c r="H6" s="104">
        <f t="shared" si="1"/>
        <v>0.11428571428571428</v>
      </c>
      <c r="I6" s="104">
        <f t="shared" si="0"/>
        <v>9.6732904999640443E-4</v>
      </c>
    </row>
    <row r="7" spans="2:9" x14ac:dyDescent="0.25">
      <c r="B7" s="7">
        <v>6</v>
      </c>
      <c r="C7" s="102">
        <v>0.92874999999999996</v>
      </c>
      <c r="D7" s="103">
        <v>0.7893620547009822</v>
      </c>
      <c r="H7" s="104">
        <f t="shared" si="1"/>
        <v>0.14285714285714285</v>
      </c>
      <c r="I7" s="104">
        <f t="shared" si="0"/>
        <v>1.9755420215757449E-3</v>
      </c>
    </row>
    <row r="8" spans="2:9" x14ac:dyDescent="0.25">
      <c r="B8" s="7">
        <v>7</v>
      </c>
      <c r="C8" s="102">
        <v>0.97</v>
      </c>
      <c r="D8" s="103">
        <v>0.90713004130020858</v>
      </c>
      <c r="H8" s="104">
        <f t="shared" si="1"/>
        <v>0.17142857142857143</v>
      </c>
      <c r="I8" s="104">
        <f t="shared" si="0"/>
        <v>3.5405135376094824E-3</v>
      </c>
    </row>
    <row r="9" spans="2:9" x14ac:dyDescent="0.25">
      <c r="B9" s="7">
        <v>8</v>
      </c>
      <c r="C9" s="102">
        <v>0.89312499999999995</v>
      </c>
      <c r="D9" s="103">
        <v>0.69649689975213147</v>
      </c>
      <c r="H9" s="104">
        <f t="shared" si="1"/>
        <v>0.2</v>
      </c>
      <c r="I9" s="104">
        <f t="shared" si="0"/>
        <v>5.7982373094215625E-3</v>
      </c>
    </row>
    <row r="10" spans="2:9" x14ac:dyDescent="0.25">
      <c r="B10" s="7">
        <v>9</v>
      </c>
      <c r="C10" s="102">
        <v>0.80400000000000005</v>
      </c>
      <c r="D10" s="103">
        <v>0.49753009518937347</v>
      </c>
      <c r="H10" s="104">
        <f t="shared" si="1"/>
        <v>0.22857142857142859</v>
      </c>
      <c r="I10" s="104">
        <f t="shared" si="0"/>
        <v>8.8893543077737183E-3</v>
      </c>
    </row>
    <row r="11" spans="2:9" x14ac:dyDescent="0.25">
      <c r="B11" s="7">
        <v>10</v>
      </c>
      <c r="C11" s="102">
        <v>0.92874999999999996</v>
      </c>
      <c r="D11" s="103">
        <v>0.7893620547009822</v>
      </c>
      <c r="H11" s="104">
        <f t="shared" si="1"/>
        <v>0.25714285714285717</v>
      </c>
      <c r="I11" s="104">
        <f t="shared" si="0"/>
        <v>1.2958606081397666E-2</v>
      </c>
    </row>
    <row r="12" spans="2:9" x14ac:dyDescent="0.25">
      <c r="B12" s="7">
        <v>11</v>
      </c>
      <c r="C12" s="102">
        <v>0.85037499999999999</v>
      </c>
      <c r="D12" s="103">
        <v>0.59532421599202678</v>
      </c>
      <c r="H12" s="104">
        <f t="shared" si="1"/>
        <v>0.28571428571428575</v>
      </c>
      <c r="I12" s="104">
        <f t="shared" si="0"/>
        <v>1.8154414963292623E-2</v>
      </c>
    </row>
    <row r="13" spans="2:9" x14ac:dyDescent="0.25">
      <c r="B13" s="7">
        <v>12</v>
      </c>
      <c r="C13" s="102">
        <v>0.85037499999999999</v>
      </c>
      <c r="D13" s="103">
        <v>0.59532421599202678</v>
      </c>
      <c r="H13" s="104">
        <f t="shared" si="1"/>
        <v>0.31428571428571433</v>
      </c>
      <c r="I13" s="104">
        <f t="shared" si="0"/>
        <v>2.4628550395694695E-2</v>
      </c>
    </row>
    <row r="14" spans="2:9" x14ac:dyDescent="0.25">
      <c r="B14" s="7">
        <v>13</v>
      </c>
      <c r="C14" s="102">
        <v>0.66749999999999998</v>
      </c>
      <c r="D14" s="103">
        <v>0.27431153103914752</v>
      </c>
      <c r="H14" s="104">
        <f t="shared" si="1"/>
        <v>0.34285714285714292</v>
      </c>
      <c r="I14" s="104">
        <f t="shared" si="0"/>
        <v>3.2535856611974001E-2</v>
      </c>
    </row>
    <row r="15" spans="2:9" x14ac:dyDescent="0.25">
      <c r="B15" s="7">
        <v>14</v>
      </c>
      <c r="C15" s="102">
        <v>0.66749999999999998</v>
      </c>
      <c r="D15" s="103">
        <v>0.27431153103914752</v>
      </c>
      <c r="H15" s="104">
        <f t="shared" si="1"/>
        <v>0.3714285714285715</v>
      </c>
      <c r="I15" s="104">
        <f t="shared" si="0"/>
        <v>4.2034025703282296E-2</v>
      </c>
    </row>
    <row r="16" spans="2:9" x14ac:dyDescent="0.25">
      <c r="B16" s="7">
        <v>15</v>
      </c>
      <c r="C16" s="102">
        <v>0.66749999999999998</v>
      </c>
      <c r="D16" s="103">
        <v>0.27431153103914752</v>
      </c>
      <c r="H16" s="104">
        <f t="shared" si="1"/>
        <v>0.40000000000000008</v>
      </c>
      <c r="I16" s="104">
        <f t="shared" si="0"/>
        <v>5.3283405273719907E-2</v>
      </c>
    </row>
    <row r="17" spans="2:9" x14ac:dyDescent="0.25">
      <c r="B17" s="7">
        <v>16</v>
      </c>
      <c r="C17" s="102">
        <v>0.9</v>
      </c>
      <c r="D17" s="103">
        <v>0.71379915616115208</v>
      </c>
      <c r="H17" s="104">
        <f t="shared" si="1"/>
        <v>0.42857142857142866</v>
      </c>
      <c r="I17" s="104">
        <f t="shared" si="0"/>
        <v>6.6446833107262335E-2</v>
      </c>
    </row>
    <row r="18" spans="2:9" x14ac:dyDescent="0.25">
      <c r="B18" s="7">
        <v>17</v>
      </c>
      <c r="C18" s="102">
        <v>0.76249999999999996</v>
      </c>
      <c r="D18" s="103">
        <v>0.41992092232853029</v>
      </c>
      <c r="H18" s="104">
        <f t="shared" si="1"/>
        <v>0.45714285714285724</v>
      </c>
      <c r="I18" s="104">
        <f t="shared" si="0"/>
        <v>8.1689493362603838E-2</v>
      </c>
    </row>
    <row r="19" spans="2:9" x14ac:dyDescent="0.25">
      <c r="B19" s="7">
        <v>18</v>
      </c>
      <c r="C19" s="102">
        <v>0.76249999999999996</v>
      </c>
      <c r="D19" s="103">
        <v>0.41992092232853029</v>
      </c>
      <c r="H19" s="104">
        <f t="shared" si="1"/>
        <v>0.48571428571428582</v>
      </c>
      <c r="I19" s="104">
        <f t="shared" si="0"/>
        <v>9.9178790223119484E-2</v>
      </c>
    </row>
    <row r="20" spans="2:9" x14ac:dyDescent="0.25">
      <c r="B20" s="7">
        <v>19</v>
      </c>
      <c r="C20" s="102">
        <v>0.76249999999999996</v>
      </c>
      <c r="D20" s="103">
        <v>0.41992092232853029</v>
      </c>
      <c r="H20" s="104">
        <f t="shared" si="1"/>
        <v>0.51428571428571435</v>
      </c>
      <c r="I20" s="104">
        <f t="shared" si="0"/>
        <v>0.11908423591004856</v>
      </c>
    </row>
    <row r="21" spans="2:9" x14ac:dyDescent="0.25">
      <c r="B21" s="7">
        <v>20</v>
      </c>
      <c r="C21" s="102">
        <v>0.94</v>
      </c>
      <c r="D21" s="103">
        <v>0.82036879330444146</v>
      </c>
      <c r="H21" s="104">
        <f t="shared" si="1"/>
        <v>0.54285714285714293</v>
      </c>
      <c r="I21" s="104">
        <f t="shared" si="0"/>
        <v>0.14157735066692953</v>
      </c>
    </row>
    <row r="22" spans="2:9" x14ac:dyDescent="0.25">
      <c r="B22" s="7">
        <v>21</v>
      </c>
      <c r="C22" s="102">
        <v>0.92500000000000004</v>
      </c>
      <c r="D22" s="103">
        <v>0.77920825485013756</v>
      </c>
      <c r="H22" s="104">
        <f t="shared" si="1"/>
        <v>0.57142857142857151</v>
      </c>
      <c r="I22" s="104">
        <f t="shared" si="0"/>
        <v>0.16683157283414232</v>
      </c>
    </row>
    <row r="23" spans="2:9" x14ac:dyDescent="0.25">
      <c r="B23" s="7">
        <v>22</v>
      </c>
      <c r="C23" s="102">
        <v>0.89500000000000002</v>
      </c>
      <c r="D23" s="103">
        <v>0.70118676965305315</v>
      </c>
      <c r="H23" s="104">
        <f t="shared" si="1"/>
        <v>0.60000000000000009</v>
      </c>
      <c r="I23" s="104">
        <f t="shared" si="0"/>
        <v>0.19502217751264589</v>
      </c>
    </row>
    <row r="24" spans="2:9" x14ac:dyDescent="0.25">
      <c r="B24" s="7">
        <v>23</v>
      </c>
      <c r="C24" s="102">
        <v>0.95499999999999996</v>
      </c>
      <c r="D24" s="103">
        <v>0.8629999867911009</v>
      </c>
      <c r="H24" s="104">
        <f t="shared" si="1"/>
        <v>0.62857142857142867</v>
      </c>
      <c r="I24" s="104">
        <f t="shared" si="0"/>
        <v>0.22632620260396866</v>
      </c>
    </row>
    <row r="25" spans="2:9" x14ac:dyDescent="0.25">
      <c r="B25" s="7">
        <v>24</v>
      </c>
      <c r="C25" s="102">
        <v>0.76249999999999996</v>
      </c>
      <c r="D25" s="103">
        <v>0.41992092232853029</v>
      </c>
      <c r="H25" s="104">
        <f t="shared" si="1"/>
        <v>0.65714285714285725</v>
      </c>
      <c r="I25" s="104">
        <f t="shared" si="0"/>
        <v>0.26092238123498968</v>
      </c>
    </row>
    <row r="26" spans="2:9" x14ac:dyDescent="0.25">
      <c r="B26" s="7">
        <v>25</v>
      </c>
      <c r="C26" s="102">
        <v>0.76249999999999996</v>
      </c>
      <c r="D26" s="103">
        <v>0.41992092232853029</v>
      </c>
      <c r="H26" s="104">
        <f t="shared" si="1"/>
        <v>0.68571428571428583</v>
      </c>
      <c r="I26" s="104">
        <f t="shared" si="0"/>
        <v>0.29899107974875161</v>
      </c>
    </row>
    <row r="27" spans="2:9" x14ac:dyDescent="0.25">
      <c r="B27" s="7">
        <v>26</v>
      </c>
      <c r="C27" s="102">
        <v>0.9</v>
      </c>
      <c r="D27" s="103">
        <v>0.71379915616115208</v>
      </c>
      <c r="H27" s="104">
        <f t="shared" si="1"/>
        <v>0.71428571428571441</v>
      </c>
      <c r="I27" s="104">
        <f t="shared" si="0"/>
        <v>0.34071424057888877</v>
      </c>
    </row>
    <row r="28" spans="2:9" x14ac:dyDescent="0.25">
      <c r="B28" s="7">
        <v>27</v>
      </c>
      <c r="C28" s="102">
        <v>0.82187500000000002</v>
      </c>
      <c r="D28" s="103">
        <v>0.53379987105554849</v>
      </c>
      <c r="H28" s="104">
        <f t="shared" si="1"/>
        <v>0.74285714285714299</v>
      </c>
      <c r="I28" s="104">
        <f t="shared" si="0"/>
        <v>0.38627532943410775</v>
      </c>
    </row>
    <row r="29" spans="2:9" x14ac:dyDescent="0.25">
      <c r="B29" s="7">
        <v>28</v>
      </c>
      <c r="C29" s="102">
        <v>0.67937500000000006</v>
      </c>
      <c r="D29" s="103">
        <v>0.29023554325797374</v>
      </c>
      <c r="H29" s="104">
        <f t="shared" si="1"/>
        <v>0.77142857142857157</v>
      </c>
      <c r="I29" s="104">
        <f t="shared" si="0"/>
        <v>0.43585928630694559</v>
      </c>
    </row>
    <row r="30" spans="2:9" x14ac:dyDescent="0.25">
      <c r="B30" s="7">
        <v>29</v>
      </c>
      <c r="C30" s="102">
        <v>0.89500000000000002</v>
      </c>
      <c r="D30" s="103">
        <v>0.70118676965305315</v>
      </c>
      <c r="H30" s="104">
        <f t="shared" si="1"/>
        <v>0.80000000000000016</v>
      </c>
      <c r="I30" s="104">
        <f t="shared" si="0"/>
        <v>0.48965247989249922</v>
      </c>
    </row>
    <row r="31" spans="2:9" x14ac:dyDescent="0.25">
      <c r="B31" s="7">
        <v>30</v>
      </c>
      <c r="C31" s="102">
        <v>0.89500000000000002</v>
      </c>
      <c r="D31" s="103">
        <v>0.70118676965305315</v>
      </c>
      <c r="H31" s="104">
        <f t="shared" si="1"/>
        <v>0.82857142857142874</v>
      </c>
      <c r="I31" s="104">
        <f t="shared" si="0"/>
        <v>0.54784266506149248</v>
      </c>
    </row>
    <row r="32" spans="2:9" x14ac:dyDescent="0.25">
      <c r="B32" s="7">
        <v>31</v>
      </c>
      <c r="C32" s="102">
        <v>0.85299999999999998</v>
      </c>
      <c r="D32" s="103">
        <v>0.60122481824896112</v>
      </c>
      <c r="H32" s="104">
        <f t="shared" si="1"/>
        <v>0.85714285714285732</v>
      </c>
      <c r="I32" s="104">
        <f t="shared" si="0"/>
        <v>0.61061894308059828</v>
      </c>
    </row>
    <row r="33" spans="2:9" x14ac:dyDescent="0.25">
      <c r="B33" s="7">
        <v>32</v>
      </c>
      <c r="C33" s="102">
        <v>0.89312499999999995</v>
      </c>
      <c r="D33" s="103">
        <v>0.69649689975213147</v>
      </c>
      <c r="H33" s="104">
        <f t="shared" si="1"/>
        <v>0.8857142857142859</v>
      </c>
      <c r="I33" s="104">
        <f t="shared" si="0"/>
        <v>0.67817172431339812</v>
      </c>
    </row>
    <row r="34" spans="2:9" x14ac:dyDescent="0.25">
      <c r="B34" s="7">
        <v>33</v>
      </c>
      <c r="C34" s="102">
        <v>0.98124999999999996</v>
      </c>
      <c r="D34" s="103">
        <v>0.94122822747742318</v>
      </c>
      <c r="H34" s="104">
        <f t="shared" si="1"/>
        <v>0.91428571428571448</v>
      </c>
      <c r="I34" s="104">
        <f t="shared" si="0"/>
        <v>0.7506926931693142</v>
      </c>
    </row>
    <row r="35" spans="2:9" x14ac:dyDescent="0.25">
      <c r="B35" s="7">
        <v>34</v>
      </c>
      <c r="C35" s="102">
        <v>0.89312499999999995</v>
      </c>
      <c r="D35" s="103">
        <v>0.69649689975213147</v>
      </c>
      <c r="H35" s="104">
        <f t="shared" si="1"/>
        <v>0.94285714285714306</v>
      </c>
      <c r="I35" s="104">
        <f t="shared" si="0"/>
        <v>0.82837477509651603</v>
      </c>
    </row>
    <row r="36" spans="2:9" x14ac:dyDescent="0.25">
      <c r="B36" s="7">
        <v>35</v>
      </c>
      <c r="C36" s="102">
        <v>0.95499999999999996</v>
      </c>
      <c r="D36" s="103">
        <v>0.8629999867911009</v>
      </c>
      <c r="H36" s="104">
        <f t="shared" si="1"/>
        <v>0.97142857142857164</v>
      </c>
      <c r="I36" s="104">
        <f t="shared" si="0"/>
        <v>0.91141210543914697</v>
      </c>
    </row>
    <row r="37" spans="2:9" x14ac:dyDescent="0.25">
      <c r="B37" s="7">
        <v>36</v>
      </c>
      <c r="C37" s="102">
        <v>0.89312499999999995</v>
      </c>
      <c r="D37" s="103">
        <v>0.69649689975213147</v>
      </c>
      <c r="H37" s="104">
        <f t="shared" si="1"/>
        <v>1.0000000000000002</v>
      </c>
      <c r="I37" s="104">
        <f t="shared" si="0"/>
        <v>1.0000000000000007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EDIFICACIONES</vt:lpstr>
      <vt:lpstr>OBRAS LINEALES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AMBIENTAL MAV COLOMBIA</dc:creator>
  <cp:lastModifiedBy>AMBIENTAL MAV COLOMBIA</cp:lastModifiedBy>
  <dcterms:created xsi:type="dcterms:W3CDTF">2026-07-27T20:37:56Z</dcterms:created>
  <dcterms:modified xsi:type="dcterms:W3CDTF">2026-09-03T22:39:28Z</dcterms:modified>
</cp:coreProperties>
</file>